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cc8dbb8bbd1430a" /></Relationships>
</file>

<file path=xl/workbook.xml><?xml version="1.0" encoding="utf-8"?>
<x:workbook xmlns:x="http://schemas.openxmlformats.org/spreadsheetml/2006/main">
  <x:sheets>
    <x:sheet xmlns:r="http://schemas.openxmlformats.org/officeDocument/2006/relationships" name="はじめに" sheetId="1" r:id="Rc36de5aef24242c7"/>
    <x:sheet xmlns:r="http://schemas.openxmlformats.org/officeDocument/2006/relationships" name="料理100" sheetId="2" r:id="Raf7d815cf1264a78"/>
    <x:sheet xmlns:r="http://schemas.openxmlformats.org/officeDocument/2006/relationships" name="写真52" sheetId="3" r:id="R8e2fefaf719f44b9"/>
    <x:sheet xmlns:r="http://schemas.openxmlformats.org/officeDocument/2006/relationships" name="名所30" sheetId="4" r:id="Rd4b87195569742c9"/>
    <x:sheet xmlns:r="http://schemas.openxmlformats.org/officeDocument/2006/relationships" name="出典86" sheetId="5" r:id="R5c709fc49e8b477b"/>
    <x:sheet xmlns:r="http://schemas.openxmlformats.org/officeDocument/2006/relationships" name="優先40" sheetId="6" r:id="R7ad0201d7fd941ca"/>
    <x:sheet xmlns:r="http://schemas.openxmlformats.org/officeDocument/2006/relationships" name="未解決15" sheetId="7" r:id="R76a47e3d35c944ca"/>
    <x:sheet xmlns:r="http://schemas.openxmlformats.org/officeDocument/2006/relationships" name="季節9" sheetId="8" r:id="R11d2a257e5e74f51"/>
    <x:sheet xmlns:r="http://schemas.openxmlformats.org/officeDocument/2006/relationships" name="写真配置23" sheetId="9" r:id="R2681d3d1d6e64b6f"/>
    <x:sheet xmlns:r="http://schemas.openxmlformats.org/officeDocument/2006/relationships" name="探索ログ" sheetId="10" r:id="R353f5011144a4e44"/>
  </x:sheets>
</x:workbook>
</file>

<file path=xl/sharedStrings.xml><?xml version="1.0" encoding="utf-8"?>
<x:sst xmlns:x="http://schemas.openxmlformats.org/spreadsheetml/2006/main"/>
</file>

<file path=xl/styles.xml><?xml version="1.0" encoding="utf-8"?>
<x:styleSheet xmlns:x="http://schemas.openxmlformats.org/spreadsheetml/2006/main">
  <x:fonts count="11">
    <x:font>
      <x:sz val="11"/>
      <x:name val="Carlito"/>
    </x:font>
    <x:font>
      <x:sz val="11"/>
      <x:name val="Yu Gothic"/>
    </x:font>
    <x:font>
      <x:sz val="10"/>
      <x:name val="Yu Gothic"/>
    </x:font>
    <x:font>
      <x:b/>
      <x:sz val="17"/>
      <x:color rgb="FFFFFFFF"/>
      <x:name val="Yu Gothic"/>
    </x:font>
    <x:font>
      <x:sz val="10"/>
      <x:color rgb="FF635848"/>
      <x:name val="Yu Gothic"/>
    </x:font>
    <x:font>
      <x:b/>
      <x:sz val="10"/>
      <x:color rgb="FFFFFFFF"/>
      <x:name val="Yu Gothic"/>
    </x:font>
    <x:font>
      <x:b/>
      <x:sz val="23"/>
      <x:color rgb="FFFFFFFF"/>
      <x:name val="Yu Gothic"/>
    </x:font>
    <x:font>
      <x:sz val="11"/>
      <x:color rgb="FF6D5945"/>
      <x:name val="Yu Gothic"/>
    </x:font>
    <x:font>
      <x:b/>
      <x:sz val="11"/>
      <x:name val="Yu Gothic"/>
    </x:font>
    <x:font>
      <x:b/>
      <x:sz val="16"/>
      <x:name val="Yu Gothic"/>
    </x:font>
    <x:font>
      <x:b/>
      <x:sz val="11"/>
      <x:color rgb="FF6B422C"/>
      <x:name val="Yu Gothic"/>
    </x:font>
  </x:fonts>
  <x:fills count="8">
    <x:fill>
      <x:patternFill patternType="none"/>
    </x:fill>
    <x:fill>
      <x:patternFill patternType="gray125"/>
    </x:fill>
    <x:fill>
      <x:patternFill patternType="solid">
        <x:fgColor rgb="FF243C43"/>
      </x:patternFill>
    </x:fill>
    <x:fill>
      <x:patternFill patternType="solid">
        <x:fgColor rgb="FF8A4B36"/>
      </x:patternFill>
    </x:fill>
    <x:fill>
      <x:patternFill patternType="solid">
        <x:fgColor rgb="FFF4F0E8"/>
      </x:patternFill>
    </x:fill>
    <x:fill>
      <x:patternFill patternType="solid">
        <x:fgColor rgb="FFF3E9D9"/>
      </x:patternFill>
    </x:fill>
    <x:fill>
      <x:patternFill patternType="solid">
        <x:fgColor rgb="FFFFFDF8"/>
      </x:patternFill>
    </x:fill>
    <x:fill>
      <x:patternFill patternType="solid">
        <x:fgColor rgb="FFECE6DB"/>
      </x:patternFill>
    </x:fill>
  </x:fills>
  <x:borders count="2">
    <x:border/>
    <x:border/>
  </x:borders>
  <x:cellStyleXfs count="1">
    <x:xf numFmtId="0" fontId="0" fillId="0" borderId="0"/>
  </x:cellStyleXfs>
  <x:cellXfs count="56">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2" fillId="0" borderId="0" xfId="0" applyNumberFormat="1" applyFont="1" applyFill="1" applyBorder="1" applyAlignment="1">
      <x:alignment vertical="top"/>
    </x:xf>
    <x:xf numFmtId="0" fontId="2" fillId="0" borderId="1" xfId="0" applyNumberFormat="1" applyFont="1" applyFill="1" applyBorder="1" applyAlignment="1">
      <x:alignment vertical="top"/>
    </x:xf>
    <x:xf numFmtId="0" fontId="2" fillId="2" borderId="0" xfId="0" applyNumberFormat="1" applyFont="1" applyFill="1" applyBorder="1" applyAlignment="1">
      <x:alignment vertical="top"/>
    </x:xf>
    <x:xf numFmtId="0" fontId="3" fillId="2" borderId="0" xfId="0" applyNumberFormat="1" applyFont="1" applyFill="1" applyBorder="1" applyAlignment="1">
      <x:alignment vertical="top"/>
    </x:xf>
    <x:xf numFmtId="0" fontId="2" fillId="2" borderId="1" xfId="0" applyNumberFormat="1" applyFont="1" applyFill="1" applyBorder="1" applyAlignment="1">
      <x:alignment vertical="top"/>
    </x:xf>
    <x:xf numFmtId="0" fontId="3" fillId="2" borderId="1" xfId="0" applyNumberFormat="1" applyFont="1" applyFill="1" applyBorder="1" applyAlignment="1">
      <x:alignment vertical="top"/>
    </x:xf>
    <x:xf numFmtId="0" fontId="4" fillId="0" borderId="0" xfId="0" applyNumberFormat="1" applyFont="1" applyFill="1" applyBorder="1" applyAlignment="1">
      <x:alignment vertical="top"/>
    </x:xf>
    <x:xf numFmtId="0" fontId="4" fillId="0" borderId="0" xfId="0" applyNumberFormat="1" applyFont="1" applyFill="1" applyBorder="1" applyAlignment="1">
      <x:alignment vertical="top" wrapText="1"/>
    </x:xf>
    <x:xf numFmtId="0" fontId="4" fillId="0" borderId="1" xfId="0" applyNumberFormat="1" applyFont="1" applyFill="1" applyBorder="1" applyAlignment="1">
      <x:alignment vertical="top"/>
    </x:xf>
    <x:xf numFmtId="0" fontId="4" fillId="0" borderId="1" xfId="0" applyNumberFormat="1" applyFont="1" applyFill="1" applyBorder="1" applyAlignment="1">
      <x:alignment vertical="top" wrapText="1"/>
    </x:xf>
    <x:xf numFmtId="0" fontId="2" fillId="3" borderId="0" xfId="0" applyNumberFormat="1" applyFont="1" applyFill="1" applyBorder="1" applyAlignment="1">
      <x:alignment vertical="top"/>
    </x:xf>
    <x:xf numFmtId="0" fontId="5" fillId="3" borderId="0" xfId="0" applyNumberFormat="1" applyFont="1" applyFill="1" applyBorder="1" applyAlignment="1">
      <x:alignment vertical="top"/>
    </x:xf>
    <x:xf numFmtId="0" fontId="5" fillId="3" borderId="0" xfId="0" applyNumberFormat="1" applyFont="1" applyFill="1" applyBorder="1" applyAlignment="1">
      <x:alignment vertical="top" wrapText="1"/>
    </x:xf>
    <x:xf numFmtId="0" fontId="2" fillId="3" borderId="1" xfId="0" applyNumberFormat="1" applyFont="1" applyFill="1" applyBorder="1" applyAlignment="1">
      <x:alignment vertical="top"/>
    </x:xf>
    <x:xf numFmtId="0" fontId="5" fillId="3" borderId="1" xfId="0" applyNumberFormat="1" applyFont="1" applyFill="1" applyBorder="1" applyAlignment="1">
      <x:alignment vertical="top"/>
    </x:xf>
    <x:xf numFmtId="0" fontId="5" fillId="3" borderId="1"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2" fillId="4" borderId="0" xfId="0" applyNumberFormat="1" applyFont="1" applyFill="1" applyBorder="1" applyAlignment="1">
      <x:alignment vertical="top" wrapText="1"/>
    </x:xf>
    <x:xf numFmtId="0" fontId="2" fillId="4" borderId="1" xfId="0" applyNumberFormat="1" applyFont="1" applyFill="1" applyBorder="1" applyAlignment="1">
      <x:alignment vertical="top" wrapText="1"/>
    </x:xf>
    <x:xf numFmtId="0" fontId="1" fillId="2" borderId="0" xfId="0" applyNumberFormat="1" applyFont="1" applyFill="1" applyBorder="1"/>
    <x:xf numFmtId="0" fontId="6" fillId="2" borderId="0" xfId="0" applyNumberFormat="1" applyFont="1" applyFill="1" applyBorder="1"/>
    <x:xf numFmtId="0" fontId="6" fillId="2" borderId="0" xfId="0" applyNumberFormat="1" applyFont="1" applyFill="1" applyBorder="1" applyAlignment="1">
      <x:alignment vertical="center"/>
    </x:xf>
    <x:xf numFmtId="0" fontId="1" fillId="2" borderId="1" xfId="0" applyNumberFormat="1" applyFont="1" applyFill="1" applyBorder="1"/>
    <x:xf numFmtId="0" fontId="6" fillId="2" borderId="1" xfId="0" applyNumberFormat="1" applyFont="1" applyFill="1" applyBorder="1"/>
    <x:xf numFmtId="0" fontId="6" fillId="2" borderId="1" xfId="0" applyNumberFormat="1" applyFont="1" applyFill="1" applyBorder="1" applyAlignment="1">
      <x:alignment vertical="center"/>
    </x:xf>
    <x:xf numFmtId="0" fontId="7" fillId="0" borderId="0" xfId="0" applyNumberFormat="1" applyFont="1" applyFill="1" applyBorder="1"/>
    <x:xf numFmtId="0" fontId="7" fillId="0" borderId="1" xfId="0" applyNumberFormat="1" applyFont="1" applyFill="1" applyBorder="1"/>
    <x:xf numFmtId="0" fontId="1" fillId="5" borderId="0" xfId="0" applyNumberFormat="1" applyFont="1" applyFill="1" applyBorder="1"/>
    <x:xf numFmtId="0" fontId="1" fillId="5" borderId="1" xfId="0" applyNumberFormat="1" applyFont="1" applyFill="1" applyBorder="1"/>
    <x:xf numFmtId="0" fontId="8" fillId="5" borderId="0" xfId="0" applyNumberFormat="1" applyFont="1" applyFill="1" applyBorder="1"/>
    <x:xf numFmtId="0" fontId="8" fillId="5" borderId="1" xfId="0" applyNumberFormat="1" applyFont="1" applyFill="1" applyBorder="1"/>
    <x:xf numFmtId="0" fontId="9" fillId="5" borderId="0" xfId="0" applyNumberFormat="1" applyFont="1" applyFill="1" applyBorder="1"/>
    <x:xf numFmtId="0" fontId="9" fillId="5" borderId="1" xfId="0" applyNumberFormat="1" applyFont="1" applyFill="1" applyBorder="1"/>
    <x:xf numFmtId="0" fontId="1" fillId="6" borderId="0" xfId="0" applyNumberFormat="1" applyFont="1" applyFill="1" applyBorder="1"/>
    <x:xf numFmtId="0" fontId="1" fillId="6" borderId="1" xfId="0" applyNumberFormat="1" applyFont="1" applyFill="1" applyBorder="1"/>
    <x:xf numFmtId="0" fontId="8" fillId="6" borderId="0" xfId="0" applyNumberFormat="1" applyFont="1" applyFill="1" applyBorder="1"/>
    <x:xf numFmtId="0" fontId="8" fillId="6" borderId="1" xfId="0" applyNumberFormat="1" applyFont="1" applyFill="1" applyBorder="1"/>
    <x:xf numFmtId="0" fontId="9" fillId="6" borderId="0" xfId="0" applyNumberFormat="1" applyFont="1" applyFill="1" applyBorder="1"/>
    <x:xf numFmtId="0" fontId="9" fillId="6" borderId="1" xfId="0" applyNumberFormat="1" applyFont="1" applyFill="1" applyBorder="1"/>
    <x:xf numFmtId="0" fontId="1" fillId="7" borderId="0" xfId="0" applyNumberFormat="1" applyFont="1" applyFill="1" applyBorder="1"/>
    <x:xf numFmtId="0" fontId="10" fillId="7" borderId="0" xfId="0" applyNumberFormat="1" applyFont="1" applyFill="1" applyBorder="1"/>
    <x:xf numFmtId="0" fontId="10" fillId="7" borderId="0" xfId="0" applyNumberFormat="1" applyFont="1" applyFill="1" applyBorder="1" applyAlignment="1">
      <x:alignment wrapText="1"/>
    </x:xf>
    <x:xf numFmtId="0" fontId="10" fillId="7" borderId="0" xfId="0" applyNumberFormat="1" applyFont="1" applyFill="1" applyBorder="1" applyAlignment="1">
      <x:alignment vertical="center" wrapText="1"/>
    </x:xf>
    <x:xf numFmtId="0" fontId="1" fillId="7" borderId="1" xfId="0" applyNumberFormat="1" applyFont="1" applyFill="1" applyBorder="1"/>
    <x:xf numFmtId="0" fontId="10" fillId="7" borderId="1" xfId="0" applyNumberFormat="1" applyFont="1" applyFill="1" applyBorder="1"/>
    <x:xf numFmtId="0" fontId="10" fillId="7" borderId="1" xfId="0" applyNumberFormat="1" applyFont="1" applyFill="1" applyBorder="1" applyAlignment="1">
      <x:alignment wrapText="1"/>
    </x:xf>
    <x:xf numFmtId="0" fontId="10" fillId="7" borderId="1" xfId="0" applyNumberFormat="1" applyFont="1" applyFill="1" applyBorder="1" applyAlignment="1">
      <x:alignment vertical="center" wrapText="1"/>
    </x:xf>
    <x:xf numFmtId="0" fontId="1" fillId="0" borderId="0" xfId="0" applyNumberFormat="1" applyFont="1" applyFill="1" applyBorder="1" applyAlignment="1">
      <x:alignment wrapText="1"/>
    </x:xf>
    <x:xf numFmtId="0" fontId="1"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d6c19b4457448d5" /><Relationship Type="http://schemas.openxmlformats.org/officeDocument/2006/relationships/theme" Target="/xl/theme/theme1.xml" Id="R057de141b83c4ed5" /><Relationship Type="http://schemas.openxmlformats.org/officeDocument/2006/relationships/sharedStrings" Target="/xl/sharedStrings.xml" Id="R1912ffbfc139410f" /><Relationship Type="http://schemas.openxmlformats.org/officeDocument/2006/relationships/worksheet" Target="/xl/worksheets/sheet1.xml" Id="Rc36de5aef24242c7" /><Relationship Type="http://schemas.openxmlformats.org/officeDocument/2006/relationships/worksheet" Target="/xl/worksheets/sheet2.xml" Id="Raf7d815cf1264a78" /><Relationship Type="http://schemas.openxmlformats.org/officeDocument/2006/relationships/worksheet" Target="/xl/worksheets/sheet3.xml" Id="R8e2fefaf719f44b9" /><Relationship Type="http://schemas.openxmlformats.org/officeDocument/2006/relationships/worksheet" Target="/xl/worksheets/sheet4.xml" Id="Rd4b87195569742c9" /><Relationship Type="http://schemas.openxmlformats.org/officeDocument/2006/relationships/worksheet" Target="/xl/worksheets/sheet5.xml" Id="R5c709fc49e8b477b" /><Relationship Type="http://schemas.openxmlformats.org/officeDocument/2006/relationships/worksheet" Target="/xl/worksheets/sheet6.xml" Id="R7ad0201d7fd941ca" /><Relationship Type="http://schemas.openxmlformats.org/officeDocument/2006/relationships/worksheet" Target="/xl/worksheets/sheet7.xml" Id="R76a47e3d35c944ca" /><Relationship Type="http://schemas.openxmlformats.org/officeDocument/2006/relationships/worksheet" Target="/xl/worksheets/sheet8.xml" Id="R11d2a257e5e74f51" /><Relationship Type="http://schemas.openxmlformats.org/officeDocument/2006/relationships/worksheet" Target="/xl/worksheets/sheet9.xml" Id="R2681d3d1d6e64b6f" /><Relationship Type="http://schemas.openxmlformats.org/officeDocument/2006/relationships/worksheet" Target="/xl/worksheets/sheet10.xml" Id="R353f5011144a4e44" /></Relationships>
</file>

<file path=xl/tables/table1.xml><?xml version="1.0" encoding="utf-8"?>
<x:table xmlns:x="http://schemas.openxmlformats.org/spreadsheetml/2006/main" id="1" name="T1" displayName="T1" ref="A4:P104" headerRowCount="1" totalsRowCount="0" totalsRowShown="0">
  <x:tableColumns count="16">
    <x:tableColumn id="1" name="ID"/>
    <x:tableColumn id="2" name="日本語名"/>
    <x:tableColumn id="3" name="現地語名"/>
    <x:tableColumn id="4" name="地域との関係"/>
    <x:tableColumn id="5" name="優先40の順"/>
    <x:tableColumn id="6" name="紹介文初稿"/>
    <x:tableColumn id="7" name="確認先（現在営業の保証ではない）"/>
    <x:tableColumn id="8" name="季節"/>
    <x:tableColumn id="9" name="写真候補ID"/>
    <x:tableColumn id="10" name="対象写真数"/>
    <x:tableColumn id="11" name="写真の充足"/>
    <x:tableColumn id="12" name="出典ID"/>
    <x:tableColumn id="13" name="出典URL"/>
    <x:tableColumn id="14" name="今回の更新"/>
    <x:tableColumn id="15" name="前回からの注意"/>
    <x:tableColumn id="16" name="確認範囲"/>
  </x:tableColumns>
  <x:tableStyleInfo name="TableStyleMedium2" showFirstColumn="0" showLastColumn="0" showRowStripes="1" showColumnStripes="0"/>
</x:table>
</file>

<file path=xl/tables/table2.xml><?xml version="1.0" encoding="utf-8"?>
<x:table xmlns:x="http://schemas.openxmlformats.org/spreadsheetml/2006/main" id="2" name="T2" displayName="T2" ref="A4:T56" headerRowCount="1" totalsRowCount="0" totalsRowShown="0">
  <x:tableColumns count="20">
    <x:tableColumn id="1" name="ID"/>
    <x:tableColumn id="2" name="被写体・題名"/>
    <x:tableColumn id="3" name="採否"/>
    <x:tableColumn id="4" name="対象料理ID"/>
    <x:tableColumn id="5" name="用途"/>
    <x:tableColumn id="6" name="目視"/>
    <x:tableColumn id="7" name="作者"/>
    <x:tableColumn id="8" name="ライセンス"/>
    <x:tableColumn id="9" name="撮影日"/>
    <x:tableColumn id="10" name="寸法"/>
    <x:tableColumn id="11" name="現地性"/>
    <x:tableColumn id="12" name="キャプション"/>
    <x:tableColumn id="13" name="注意"/>
    <x:tableColumn id="14" name="クレジット"/>
    <x:tableColumn id="15" name="原典URL"/>
    <x:tableColumn id="16" name="画像URL"/>
    <x:tableColumn id="17" name="ライセンスURL"/>
    <x:tableColumn id="18" name="確認時点"/>
    <x:tableColumn id="19" name="今回追加"/>
    <x:tableColumn id="20" name="原画像保存"/>
  </x:tableColumns>
  <x:tableStyleInfo name="TableStyleMedium2" showFirstColumn="0" showLastColumn="0" showRowStripes="1" showColumnStripes="0"/>
</x:table>
</file>

<file path=xl/tables/table3.xml><?xml version="1.0" encoding="utf-8"?>
<x:table xmlns:x="http://schemas.openxmlformats.org/spreadsheetml/2006/main" id="3" name="T3" displayName="T3" ref="A4:O34" headerRowCount="1" totalsRowCount="0" totalsRowShown="0">
  <x:tableColumns count="15">
    <x:tableColumn id="1" name="ID"/>
    <x:tableColumn id="2" name="名所"/>
    <x:tableColumn id="3" name="現地名"/>
    <x:tableColumn id="4" name="地域"/>
    <x:tableColumn id="5" name="見どころ"/>
    <x:tableColumn id="6" name="食との組合せ案"/>
    <x:tableColumn id="7" name="関連料理"/>
    <x:tableColumn id="8" name="時間の目安"/>
    <x:tableColumn id="9" name="時間の根拠"/>
    <x:tableColumn id="10" name="開館等の情報"/>
    <x:tableColumn id="11" name="注意"/>
    <x:tableColumn id="12" name="出典ID"/>
    <x:tableColumn id="13" name="出典URL"/>
    <x:tableColumn id="14" name="写真ID"/>
    <x:tableColumn id="15" name="今回の追加"/>
  </x:tableColumns>
  <x:tableStyleInfo name="TableStyleMedium2" showFirstColumn="0" showLastColumn="0" showRowStripes="1" showColumnStripes="0"/>
</x:table>
</file>

<file path=xl/tables/table4.xml><?xml version="1.0" encoding="utf-8"?>
<x:table xmlns:x="http://schemas.openxmlformats.org/spreadsheetml/2006/main" id="4" name="T4" displayName="T4" ref="A4:G90" headerRowCount="1" totalsRowCount="0" totalsRowShown="0">
  <x:tableColumns count="7">
    <x:tableColumn id="1" name="ID"/>
    <x:tableColumn id="2" name="資料名"/>
    <x:tableColumn id="3" name="URL"/>
    <x:tableColumn id="4" name="種別"/>
    <x:tableColumn id="5" name="確認日"/>
    <x:tableColumn id="6" name="今回／継承"/>
    <x:tableColumn id="7" name="確認範囲と限界"/>
  </x:tableColumns>
  <x:tableStyleInfo name="TableStyleMedium2" showFirstColumn="0" showLastColumn="0" showRowStripes="1" showColumnStripes="0"/>
</x:table>
</file>

<file path=xl/tables/table5.xml><?xml version="1.0" encoding="utf-8"?>
<x:table xmlns:x="http://schemas.openxmlformats.org/spreadsheetml/2006/main" id="5" name="T5" displayName="T5" ref="A4:H44" headerRowCount="1" totalsRowCount="0" totalsRowShown="0">
  <x:tableColumns count="8">
    <x:tableColumn id="1" name="順"/>
    <x:tableColumn id="2" name="元ID"/>
    <x:tableColumn id="3" name="日本語名"/>
    <x:tableColumn id="4" name="現地語名"/>
    <x:tableColumn id="5" name="本文候補"/>
    <x:tableColumn id="6" name="写真の状態"/>
    <x:tableColumn id="7" name="写真ID"/>
    <x:tableColumn id="8" name="出典URL"/>
  </x:tableColumns>
  <x:tableStyleInfo name="TableStyleMedium2" showFirstColumn="0" showLastColumn="0" showRowStripes="1" showColumnStripes="0"/>
</x:table>
</file>

<file path=xl/tables/table6.xml><?xml version="1.0" encoding="utf-8"?>
<x:table xmlns:x="http://schemas.openxmlformats.org/spreadsheetml/2006/main" id="6" name="T6" displayName="T6" ref="A4:E19" headerRowCount="1" totalsRowCount="0" totalsRowShown="0">
  <x:tableColumns count="5">
    <x:tableColumn id="1" name="ID"/>
    <x:tableColumn id="2" name="対象"/>
    <x:tableColumn id="3" name="確認段階"/>
    <x:tableColumn id="4" name="問題"/>
    <x:tableColumn id="5" name="次の確認"/>
  </x:tableColumns>
  <x:tableStyleInfo name="TableStyleMedium2" showFirstColumn="0" showLastColumn="0" showRowStripes="1" showColumnStripes="0"/>
</x:table>
</file>

<file path=xl/tables/table7.xml><?xml version="1.0" encoding="utf-8"?>
<x:table xmlns:x="http://schemas.openxmlformats.org/spreadsheetml/2006/main" id="7" name="T7" displayName="T7" ref="A4:F13" headerRowCount="1" totalsRowCount="0" totalsRowShown="0">
  <x:tableColumns count="6">
    <x:tableColumn id="1" name="時期"/>
    <x:tableColumn id="2" name="料理等"/>
    <x:tableColumn id="3" name="元ID"/>
    <x:tableColumn id="4" name="注意"/>
    <x:tableColumn id="5" name="出典ID"/>
    <x:tableColumn id="6" name="出典URL"/>
  </x:tableColumns>
  <x:tableStyleInfo name="TableStyleMedium2" showFirstColumn="0" showLastColumn="0" showRowStripes="1" showColumnStripes="0"/>
</x:table>
</file>

<file path=xl/tables/table8.xml><?xml version="1.0" encoding="utf-8"?>
<x:table xmlns:x="http://schemas.openxmlformats.org/spreadsheetml/2006/main" id="8" name="T8" displayName="T8" ref="A4:F27" headerRowCount="1" totalsRowCount="0" totalsRowShown="0">
  <x:tableColumns count="6">
    <x:tableColumn id="1" name="料理ID"/>
    <x:tableColumn id="2" name="写真ID"/>
    <x:tableColumn id="3" name="役割"/>
    <x:tableColumn id="4" name="クレジット"/>
    <x:tableColumn id="5" name="写真説明の注意"/>
    <x:tableColumn id="6" name="原典URL"/>
  </x:tableColumns>
  <x:tableStyleInfo name="TableStyleMedium2" showFirstColumn="0" showLastColumn="0" showRowStripes="1" showColumnStripes="0"/>
</x:table>
</file>

<file path=xl/tables/table9.xml><?xml version="1.0" encoding="utf-8"?>
<x:table xmlns:x="http://schemas.openxmlformats.org/spreadsheetml/2006/main" id="9" name="T9" displayName="T9" ref="A4:E13" headerRowCount="1" totalsRowCount="0" totalsRowShown="0">
  <x:tableColumns count="5">
    <x:tableColumn id="1" name="確認日"/>
    <x:tableColumn id="2" name="媒体・言語"/>
    <x:tableColumn id="3" name="検索対象"/>
    <x:tableColumn id="4" name="結果"/>
    <x:tableColumn id="5" name="参照"/>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c5b776836bd46e4" /></Relationships>
</file>

<file path=xl/worksheets/_rels/sheet3.xml.rels>&#65279;<?xml version="1.0" encoding="utf-8"?><Relationships xmlns="http://schemas.openxmlformats.org/package/2006/relationships"><Relationship Type="http://schemas.openxmlformats.org/officeDocument/2006/relationships/table" Target="/xl/tables/table2.xml" Id="R520ce912504d4e0f" /></Relationships>
</file>

<file path=xl/worksheets/_rels/sheet4.xml.rels>&#65279;<?xml version="1.0" encoding="utf-8"?><Relationships xmlns="http://schemas.openxmlformats.org/package/2006/relationships"><Relationship Type="http://schemas.openxmlformats.org/officeDocument/2006/relationships/table" Target="/xl/tables/table3.xml" Id="R17fa97e796c240ff" /></Relationships>
</file>

<file path=xl/worksheets/_rels/sheet5.xml.rels>&#65279;<?xml version="1.0" encoding="utf-8"?><Relationships xmlns="http://schemas.openxmlformats.org/package/2006/relationships"><Relationship Type="http://schemas.openxmlformats.org/officeDocument/2006/relationships/table" Target="/xl/tables/table4.xml" Id="Rd0975fb657b04964" /></Relationships>
</file>

<file path=xl/worksheets/_rels/sheet6.xml.rels>&#65279;<?xml version="1.0" encoding="utf-8"?><Relationships xmlns="http://schemas.openxmlformats.org/package/2006/relationships"><Relationship Type="http://schemas.openxmlformats.org/officeDocument/2006/relationships/table" Target="/xl/tables/table5.xml" Id="Ra7fc706ec67444ed" /></Relationships>
</file>

<file path=xl/worksheets/_rels/sheet7.xml.rels>&#65279;<?xml version="1.0" encoding="utf-8"?><Relationships xmlns="http://schemas.openxmlformats.org/package/2006/relationships"><Relationship Type="http://schemas.openxmlformats.org/officeDocument/2006/relationships/table" Target="/xl/tables/table6.xml" Id="R68402ea5ef3c4907" /></Relationships>
</file>

<file path=xl/worksheets/_rels/sheet8.xml.rels>&#65279;<?xml version="1.0" encoding="utf-8"?><Relationships xmlns="http://schemas.openxmlformats.org/package/2006/relationships"><Relationship Type="http://schemas.openxmlformats.org/officeDocument/2006/relationships/table" Target="/xl/tables/table7.xml" Id="Rfdfd3a8edfc14227" /></Relationships>
</file>

<file path=xl/worksheets/_rels/sheet9.xml.rels>&#65279;<?xml version="1.0" encoding="utf-8"?><Relationships xmlns="http://schemas.openxmlformats.org/package/2006/relationships"><Relationship Type="http://schemas.openxmlformats.org/officeDocument/2006/relationships/table" Target="/xl/tables/table8.xml" Id="R1646d384de3c4d5e" /></Relationships>
</file>

<file path=xl/worksheets/_rels/sheet10.xml.rels>&#65279;<?xml version="1.0" encoding="utf-8"?><Relationships xmlns="http://schemas.openxmlformats.org/package/2006/relationships"><Relationship Type="http://schemas.openxmlformats.org/officeDocument/2006/relationships/table" Target="/xl/tables/table9.xml" Id="Rf6fbc04f9d4648bf" /></Relationships>
</file>

<file path=xl/worksheets/sheet1.xml><?xml version="1.0" encoding="utf-8"?>
<x:worksheet xmlns:x="http://schemas.openxmlformats.org/spreadsheetml/2006/main">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s>
  <x:sheetData>
    <x:row r="1">
      <x:c r="A1" s="28" t="str">
        <x:v>マドリード｜執筆統合台帳</x:v>
      </x:c>
      <x:c r="B1" s="28"/>
      <x:c r="C1" s="28"/>
      <x:c r="D1" s="28"/>
      <x:c r="E1" s="28"/>
      <x:c r="F1" s="28"/>
      <x:c r="G1" s="28"/>
      <x:c r="H1" s="28"/>
    </x:row>
    <x:row r="2">
      <x:c r="A2" s="28"/>
      <x:c r="B2" s="28"/>
      <x:c r="C2" s="28"/>
      <x:c r="D2" s="28"/>
      <x:c r="E2" s="28"/>
      <x:c r="F2" s="28"/>
      <x:c r="G2" s="28"/>
      <x:c r="H2" s="28"/>
    </x:row>
    <x:row r="3">
      <x:c r="A3" s="32" t="str">
        <x:v>2026-09-28 · 100項目の概説本文と根拠、写真候補、名所の引継ぎ</x:v>
      </x:c>
      <x:c r="B3" s="32"/>
      <x:c r="C3" s="32"/>
      <x:c r="D3" s="32"/>
      <x:c r="E3" s="32"/>
      <x:c r="F3" s="32"/>
      <x:c r="G3" s="32"/>
      <x:c r="H3" s="32"/>
    </x:row>
    <x:row r="4">
      <x:c r="A4" s="2"/>
      <x:c r="B4" s="2"/>
      <x:c r="C4" s="2"/>
      <x:c r="D4" s="2"/>
      <x:c r="E4" s="2"/>
      <x:c r="F4" s="2"/>
      <x:c r="G4" s="2"/>
      <x:c r="H4" s="2"/>
    </x:row>
    <x:row r="5">
      <x:c r="A5" s="2"/>
      <x:c r="B5" s="2"/>
      <x:c r="C5" s="2"/>
      <x:c r="D5" s="2"/>
      <x:c r="E5" s="2"/>
      <x:c r="F5" s="2"/>
      <x:c r="G5" s="2"/>
      <x:c r="H5" s="2"/>
    </x:row>
    <x:row r="6" ht="30" customHeight="1">
      <x:c r="A6" s="34" t="str">
        <x:v>料理等の項目数</x:v>
      </x:c>
      <x:c r="B6" s="34"/>
      <x:c r="C6" s="34"/>
      <x:c r="D6" s="38" t="n">
        <x:f>COUNTA('料理100'!A5:A104)</x:f>
        <x:v>100</x:v>
      </x:c>
      <x:c r="E6" s="2"/>
      <x:c r="F6" s="49" t="str">
        <x:v>本文は用意済み
100本の個別記事ではなく100選の概説</x:v>
      </x:c>
      <x:c r="G6" s="49"/>
      <x:c r="H6" s="49"/>
    </x:row>
    <x:row r="7" ht="30" customHeight="1">
      <x:c r="A7" s="40" t="str">
        <x:v>優先候補数</x:v>
      </x:c>
      <x:c r="B7" s="40"/>
      <x:c r="C7" s="40"/>
      <x:c r="D7" s="44" t="n">
        <x:f>COUNT('料理100'!E5:E104)</x:f>
        <x:v>40</x:v>
      </x:c>
      <x:c r="E7" s="2"/>
      <x:c r="F7" s="49"/>
      <x:c r="G7" s="49"/>
      <x:c r="H7" s="49"/>
    </x:row>
    <x:row r="8" ht="30" customHeight="1">
      <x:c r="A8" s="34" t="str">
        <x:v>名所の項目数</x:v>
      </x:c>
      <x:c r="B8" s="34"/>
      <x:c r="C8" s="34"/>
      <x:c r="D8" s="38" t="n">
        <x:f>COUNTA('名所30'!A5:A34)</x:f>
        <x:v>30</x:v>
      </x:c>
      <x:c r="E8" s="2"/>
      <x:c r="F8" s="2"/>
      <x:c r="G8" s="2"/>
      <x:c r="H8" s="2"/>
    </x:row>
    <x:row r="9" ht="30" customHeight="1">
      <x:c r="A9" s="40" t="str">
        <x:v>情報源URL数</x:v>
      </x:c>
      <x:c r="B9" s="40"/>
      <x:c r="C9" s="40"/>
      <x:c r="D9" s="44" t="n">
        <x:f>COUNTA('出典86'!A5:A90)</x:f>
        <x:v>86</x:v>
      </x:c>
      <x:c r="E9" s="2"/>
      <x:c r="F9" s="49" t="str">
        <x:v>写真は未完
34項目に候補あり。
うちM003は片方の部位のみ。</x:v>
      </x:c>
      <x:c r="G9" s="49"/>
      <x:c r="H9" s="49"/>
    </x:row>
    <x:row r="10" ht="30" customHeight="1">
      <x:c r="A10" s="34" t="str">
        <x:v>写真台帳の件数</x:v>
      </x:c>
      <x:c r="B10" s="34"/>
      <x:c r="C10" s="34"/>
      <x:c r="D10" s="38" t="n">
        <x:f>COUNTA('写真52'!A5:A56)</x:f>
        <x:v>52</x:v>
      </x:c>
      <x:c r="E10" s="2"/>
      <x:c r="F10" s="49"/>
      <x:c r="G10" s="49"/>
      <x:c r="H10" s="49"/>
    </x:row>
    <x:row r="11" ht="30" customHeight="1">
      <x:c r="A11" s="40" t="str">
        <x:v>条件付き写真候補</x:v>
      </x:c>
      <x:c r="B11" s="40"/>
      <x:c r="C11" s="40"/>
      <x:c r="D11" s="44" t="n">
        <x:f>COUNTIF('写真52'!C5:C56,"条件付き使用候補")</x:f>
        <x:v>43</x:v>
      </x:c>
      <x:c r="E11" s="2"/>
      <x:c r="F11" s="49"/>
      <x:c r="G11" s="49"/>
      <x:c r="H11" s="49"/>
    </x:row>
    <x:row r="12" ht="30" customHeight="1">
      <x:c r="A12" s="34" t="str">
        <x:v>対応写真候補あり</x:v>
      </x:c>
      <x:c r="B12" s="34"/>
      <x:c r="C12" s="34"/>
      <x:c r="D12" s="38" t="n">
        <x:f>COUNTIF('料理100'!J5:J104,"&gt;0")</x:f>
        <x:v>34</x:v>
      </x:c>
      <x:c r="E12" s="2"/>
      <x:c r="F12" s="2"/>
      <x:c r="G12" s="2"/>
      <x:c r="H12" s="2"/>
    </x:row>
    <x:row r="13" ht="30" customHeight="1">
      <x:c r="A13" s="40" t="str">
        <x:v>対象写真未確保</x:v>
      </x:c>
      <x:c r="B13" s="40"/>
      <x:c r="C13" s="40"/>
      <x:c r="D13" s="44" t="n">
        <x:f>COUNTIF('料理100'!J5:J104,0)</x:f>
        <x:v>66</x:v>
      </x:c>
      <x:c r="E13" s="2"/>
      <x:c r="F13" s="49" t="str">
        <x:v>原画像・WP反映なし
HTMLは外部画像を読み込む形式。</x:v>
      </x:c>
      <x:c r="G13" s="49"/>
      <x:c r="H13" s="49"/>
    </x:row>
    <x:row r="14" ht="30" customHeight="1">
      <x:c r="A14" s="34" t="str">
        <x:v>今回追加の写真</x:v>
      </x:c>
      <x:c r="B14" s="34"/>
      <x:c r="C14" s="34"/>
      <x:c r="D14" s="38" t="n">
        <x:f>COUNTIF('写真52'!S5:S56,"追加")</x:f>
        <x:v>2</x:v>
      </x:c>
      <x:c r="E14" s="2"/>
      <x:c r="F14" s="49"/>
      <x:c r="G14" s="49"/>
      <x:c r="H14" s="49"/>
    </x:row>
    <x:row r="15" ht="30" customHeight="1">
      <x:c r="A15" s="40" t="str">
        <x:v>原画像の保存数</x:v>
      </x:c>
      <x:c r="B15" s="40"/>
      <x:c r="C15" s="40"/>
      <x:c r="D15" s="44" t="n">
        <x:f>COUNTIF('写真52'!T5:T56,"保存済")</x:f>
        <x:v>0</x:v>
      </x:c>
      <x:c r="E15" s="2"/>
      <x:c r="F15" s="49"/>
      <x:c r="G15" s="49"/>
      <x:c r="H15" s="49"/>
    </x:row>
    <x:row r="16">
      <x:c r="A16" s="2"/>
      <x:c r="B16" s="2"/>
      <x:c r="C16" s="2"/>
      <x:c r="D16" s="2"/>
      <x:c r="E16" s="2"/>
      <x:c r="F16" s="2"/>
      <x:c r="G16" s="2"/>
      <x:c r="H16" s="2"/>
    </x:row>
    <x:row r="17">
      <x:c r="A17" s="2"/>
      <x:c r="B17" s="2"/>
      <x:c r="C17" s="2"/>
      <x:c r="D17" s="2"/>
      <x:c r="E17" s="2"/>
      <x:c r="F17" s="2"/>
      <x:c r="G17" s="2"/>
      <x:c r="H17" s="2"/>
    </x:row>
    <x:row r="18" ht="30" customHeight="1">
      <x:c r="A18" s="54" t="str">
        <x:v>01のMarkdown：100項目の紹介文と、食につながる名所の章。</x:v>
      </x:c>
      <x:c r="B18" s="54"/>
      <x:c r="C18" s="54"/>
      <x:c r="D18" s="54"/>
      <x:c r="E18" s="54"/>
      <x:c r="F18" s="54"/>
      <x:c r="G18" s="54"/>
      <x:c r="H18" s="54"/>
    </x:row>
    <x:row r="19" ht="30" customHeight="1">
      <x:c r="A19" s="54" t="str">
        <x:v>03のMarkdown：出典・写真・未確認事項を含むClaude向け主資料。</x:v>
      </x:c>
      <x:c r="B19" s="54"/>
      <x:c r="C19" s="54"/>
      <x:c r="D19" s="54"/>
      <x:c r="E19" s="54"/>
      <x:c r="F19" s="54"/>
      <x:c r="G19" s="54"/>
      <x:c r="H19" s="54"/>
    </x:row>
    <x:row r="20" ht="30" customHeight="1">
      <x:c r="A20" s="54" t="str">
        <x:v>料理100：A〜Eが索引、Fが本文、Mが出典URL。長文はHTMLで読む。</x:v>
      </x:c>
      <x:c r="B20" s="54"/>
      <x:c r="C20" s="54"/>
      <x:c r="D20" s="54"/>
      <x:c r="E20" s="54"/>
      <x:c r="F20" s="54"/>
      <x:c r="G20" s="54"/>
      <x:c r="H20" s="54"/>
    </x:row>
    <x:row r="21" ht="30" customHeight="1">
      <x:c r="A21" s="54" t="str">
        <x:v>写真52：採否と目視・撮影地を別に保持。候補43件に一般補助写真を含む。</x:v>
      </x:c>
      <x:c r="B21" s="54"/>
      <x:c r="C21" s="54"/>
      <x:c r="D21" s="54"/>
      <x:c r="E21" s="54"/>
      <x:c r="F21" s="54"/>
      <x:c r="G21" s="54"/>
      <x:c r="H21" s="54"/>
    </x:row>
    <x:row r="22" ht="30" customHeight="1">
      <x:c r="A22" s="54" t="str">
        <x:v>S01〜S70は継承、S71〜S86は今回追加。同一機関の別ページを含む。</x:v>
      </x:c>
      <x:c r="B22" s="54"/>
      <x:c r="C22" s="54"/>
      <x:c r="D22" s="54"/>
      <x:c r="E22" s="54"/>
      <x:c r="F22" s="54"/>
      <x:c r="G22" s="54"/>
      <x:c r="H22" s="54"/>
    </x:row>
    <x:row r="23" ht="30" customHeight="1">
      <x:c r="A23" s="54" t="str">
        <x:v>最新の店の営業・入荷、施設の閉館、料金は公開前に再確認する。</x:v>
      </x:c>
      <x:c r="B23" s="54"/>
      <x:c r="C23" s="54"/>
      <x:c r="D23" s="54"/>
      <x:c r="E23" s="54"/>
      <x:c r="F23" s="54"/>
      <x:c r="G23" s="54"/>
      <x:c r="H23" s="54"/>
    </x:row>
    <x:row r="24" ht="30" customHeight="1">
      <x:c r="A24" s="54" t="str">
        <x:v>サイト本文・WordPress・既存画像は変更していない。</x:v>
      </x:c>
      <x:c r="B24" s="54"/>
      <x:c r="C24" s="54"/>
      <x:c r="D24" s="54"/>
      <x:c r="E24" s="54"/>
      <x:c r="F24" s="54"/>
      <x:c r="G24" s="54"/>
      <x:c r="H24" s="54"/>
    </x:row>
    <x:row r="25">
      <x:c r="A25" s="2"/>
      <x:c r="B25" s="2"/>
      <x:c r="C25" s="2"/>
      <x:c r="D25" s="2"/>
      <x:c r="E25" s="2"/>
      <x:c r="F25" s="2"/>
      <x:c r="G25" s="2"/>
      <x:c r="H25" s="2"/>
    </x:row>
    <x:row r="26">
      <x:c r="A26" s="2"/>
      <x:c r="B26" s="2"/>
      <x:c r="C26" s="2"/>
      <x:c r="D26" s="2"/>
      <x:c r="E26" s="2"/>
      <x:c r="F26" s="2"/>
      <x:c r="G26" s="2"/>
      <x:c r="H26" s="2"/>
    </x:row>
    <x:row r="27">
      <x:c r="A27" s="2"/>
      <x:c r="B27" s="2"/>
      <x:c r="C27" s="2"/>
      <x:c r="D27" s="2"/>
      <x:c r="E27" s="2"/>
      <x:c r="F27" s="2"/>
      <x:c r="G27" s="2"/>
      <x:c r="H27" s="2"/>
    </x:row>
    <x:row r="28">
      <x:c r="A28" s="2"/>
      <x:c r="B28" s="2"/>
      <x:c r="C28" s="2"/>
      <x:c r="D28" s="2"/>
      <x:c r="E28" s="2"/>
      <x:c r="F28" s="2"/>
      <x:c r="G28" s="2"/>
      <x:c r="H28" s="2"/>
    </x:row>
    <x:row r="29">
      <x:c r="A29" s="2"/>
      <x:c r="B29" s="2"/>
      <x:c r="C29" s="2"/>
      <x:c r="D29" s="2"/>
      <x:c r="E29" s="2"/>
      <x:c r="F29" s="2"/>
      <x:c r="G29" s="2"/>
      <x:c r="H29" s="2"/>
    </x:row>
    <x:row r="30">
      <x:c r="A30" s="2"/>
      <x:c r="B30" s="2"/>
      <x:c r="C30" s="2"/>
      <x:c r="D30" s="2"/>
      <x:c r="E30" s="2"/>
      <x:c r="F30" s="2"/>
      <x:c r="G30" s="2"/>
      <x:c r="H30" s="2"/>
    </x:row>
    <x:row r="31">
      <x:c r="A31" s="2"/>
      <x:c r="B31" s="2"/>
      <x:c r="C31" s="2"/>
      <x:c r="D31" s="2"/>
      <x:c r="E31" s="2"/>
      <x:c r="F31" s="2"/>
      <x:c r="G31" s="2"/>
      <x:c r="H31" s="2"/>
    </x:row>
    <x:row r="32">
      <x:c r="A32" s="2"/>
      <x:c r="B32" s="2"/>
      <x:c r="C32" s="2"/>
      <x:c r="D32" s="2"/>
      <x:c r="E32" s="2"/>
      <x:c r="F32" s="2"/>
      <x:c r="G32" s="2"/>
      <x:c r="H32" s="2"/>
    </x:row>
  </x:sheetData>
  <x:mergeCells>
    <x:mergeCell ref="A1:H2"/>
    <x:mergeCell ref="A3:H3"/>
    <x:mergeCell ref="A6:C6"/>
    <x:mergeCell ref="A7:C7"/>
    <x:mergeCell ref="A8:C8"/>
    <x:mergeCell ref="A9:C9"/>
    <x:mergeCell ref="A10:C10"/>
    <x:mergeCell ref="A11:C11"/>
    <x:mergeCell ref="A12:C12"/>
    <x:mergeCell ref="A13:C13"/>
    <x:mergeCell ref="A14:C14"/>
    <x:mergeCell ref="A15:C15"/>
    <x:mergeCell ref="F6:H7"/>
    <x:mergeCell ref="F9:H11"/>
    <x:mergeCell ref="F13:H15"/>
    <x:mergeCell ref="A18:H18"/>
    <x:mergeCell ref="A19:H19"/>
    <x:mergeCell ref="A20:H20"/>
    <x:mergeCell ref="A21:H21"/>
    <x:mergeCell ref="A22:H22"/>
    <x:mergeCell ref="A23:H23"/>
    <x:mergeCell ref="A24:H24"/>
  </x:mergeCells>
  <x:pageMargins left="0.7" right="0.7" top="0.75" bottom="0.75" header="0.3" footer="0.3"/>
</x:worksheet>
</file>

<file path=xl/worksheets/sheet2.xml><?xml version="1.0" encoding="utf-8"?>
<x:worksheet xmlns:x="http://schemas.openxmlformats.org/spreadsheetml/2006/main">
  <x:sheetFormatPr defaultRowHeight="15"/>
  <x:cols>
    <x:col min="1" max="1" width="9" hidden="0" customWidth="1"/>
    <x:col min="2" max="2" width="27" hidden="0" customWidth="1"/>
    <x:col min="3" max="3" width="28" hidden="0" customWidth="1"/>
    <x:col min="4" max="4" width="25" hidden="0" customWidth="1"/>
    <x:col min="5" max="5" width="10" hidden="0" customWidth="1"/>
    <x:col min="6" max="6" width="40" hidden="0" customWidth="1"/>
    <x:col min="7" max="7" width="35" hidden="0" customWidth="1"/>
    <x:col min="8" max="8" width="23" hidden="0" customWidth="1"/>
    <x:col min="9" max="9" width="18" hidden="0" customWidth="1"/>
    <x:col min="10" max="10" width="12" hidden="0" customWidth="1"/>
    <x:col min="11" max="11" width="16" hidden="0" customWidth="1"/>
    <x:col min="12" max="12" width="20" hidden="0" customWidth="1"/>
    <x:col min="13" max="13" width="40" hidden="0" customWidth="1"/>
    <x:col min="14" max="14" width="40" hidden="0" customWidth="1"/>
    <x:col min="15" max="15" width="40" hidden="0" customWidth="1"/>
    <x:col min="16" max="16" width="33" hidden="0" customWidth="1"/>
  </x:cols>
  <x:sheetData>
    <x:row r="1" ht="32" customHeight="1">
      <x:c r="A1" s="9" t="str">
        <x:v>料理・菓子・食材・飲み物 100項目</x:v>
      </x:c>
      <x:c r="B1" s="9"/>
      <x:c r="C1" s="9"/>
      <x:c r="D1" s="9"/>
      <x:c r="E1" s="9"/>
      <x:c r="F1" s="9"/>
      <x:c r="G1" s="9"/>
      <x:c r="H1" s="9"/>
      <x:c r="I1" s="9"/>
      <x:c r="J1" s="9"/>
      <x:c r="K1" s="9"/>
      <x:c r="L1" s="9"/>
      <x:c r="M1" s="9"/>
      <x:c r="N1" s="9"/>
      <x:c r="O1" s="9"/>
      <x:c r="P1" s="9"/>
    </x:row>
    <x:row r="2" ht="32" customHeight="1">
      <x:c r="A2" s="13" t="str">
        <x:v>100の地元発祥料理ではありません。長文の全文は01のMarkdownと統合HTMLで読めます。</x:v>
      </x:c>
      <x:c r="B2" s="13"/>
      <x:c r="C2" s="13"/>
      <x:c r="D2" s="13"/>
      <x:c r="E2" s="13"/>
      <x:c r="F2" s="13"/>
      <x:c r="G2" s="13"/>
      <x:c r="H2" s="13"/>
      <x:c r="I2" s="13"/>
      <x:c r="J2" s="13"/>
      <x:c r="K2" s="13"/>
      <x:c r="L2" s="13"/>
      <x:c r="M2" s="13"/>
      <x:c r="N2" s="13"/>
      <x:c r="O2" s="13"/>
      <x:c r="P2" s="13"/>
    </x:row>
    <x:row r="3">
      <x:c r="A3" s="6"/>
      <x:c r="B3" s="6"/>
      <x:c r="C3" s="6"/>
      <x:c r="D3" s="6"/>
      <x:c r="E3" s="6"/>
      <x:c r="F3" s="6"/>
      <x:c r="G3" s="6"/>
      <x:c r="H3" s="6"/>
      <x:c r="I3" s="6"/>
      <x:c r="J3" s="6"/>
      <x:c r="K3" s="6"/>
      <x:c r="L3" s="6"/>
      <x:c r="M3" s="6"/>
      <x:c r="N3" s="6"/>
      <x:c r="O3" s="6"/>
      <x:c r="P3" s="6"/>
    </x:row>
    <x:row r="4" ht="32" customHeight="1">
      <x:c r="A4" s="18" t="str">
        <x:v>ID</x:v>
      </x:c>
      <x:c r="B4" s="18" t="str">
        <x:v>日本語名</x:v>
      </x:c>
      <x:c r="C4" s="18" t="str">
        <x:v>現地語名</x:v>
      </x:c>
      <x:c r="D4" s="18" t="str">
        <x:v>地域との関係</x:v>
      </x:c>
      <x:c r="E4" s="18" t="str">
        <x:v>優先40の順</x:v>
      </x:c>
      <x:c r="F4" s="18" t="str">
        <x:v>紹介文初稿</x:v>
      </x:c>
      <x:c r="G4" s="18" t="str">
        <x:v>確認先（現在営業の保証ではない）</x:v>
      </x:c>
      <x:c r="H4" s="18" t="str">
        <x:v>季節</x:v>
      </x:c>
      <x:c r="I4" s="18" t="str">
        <x:v>写真候補ID</x:v>
      </x:c>
      <x:c r="J4" s="18" t="str">
        <x:v>対象写真数</x:v>
      </x:c>
      <x:c r="K4" s="18" t="str">
        <x:v>写真の充足</x:v>
      </x:c>
      <x:c r="L4" s="18" t="str">
        <x:v>出典ID</x:v>
      </x:c>
      <x:c r="M4" s="18" t="str">
        <x:v>出典URL</x:v>
      </x:c>
      <x:c r="N4" s="18" t="str">
        <x:v>今回の更新</x:v>
      </x:c>
      <x:c r="O4" s="18" t="str">
        <x:v>前回からの注意</x:v>
      </x:c>
      <x:c r="P4" s="18" t="str">
        <x:v>確認範囲</x:v>
      </x:c>
    </x:row>
    <x:row r="5" ht="92" customHeight="1">
      <x:c r="A5" s="24" t="str">
        <x:v>M001</x:v>
      </x:c>
      <x:c r="B5" s="24" t="str">
        <x:v>コシード・マドリレーニョ</x:v>
      </x:c>
      <x:c r="C5" s="24" t="str">
        <x:v>Cocido madrileño</x:v>
      </x:c>
      <x:c r="D5" s="24" t="str">
        <x:v>地域の伝統・産品／発祥の断定ではない</x:v>
      </x:c>
      <x:c r="E5" s="24" t="n">
        <x:v>4</x:v>
      </x:c>
      <x:c r="F5" s="24" t="str">
        <x:v>ひよこ豆、肉、野菜を煮込み、汁と具を分けて楽しむマドリードの代表料理。スープから豆、野菜、肉へと皿が進むが、「必ず3皿」ではない。La Bolaは個別の土鍋と炭火を使う2段階の提供、La Claveはコロッケから始まる4段階の例を紹介している。食材だけでなく、一つの鍋をどう食卓に運ぶかにも店の違いがある。滞在中の昼食を一度この料理に充て、提供日と予約条件を料理名付きで確かめておきたい。</x:v>
      </x:c>
      <x:c r="G5" s="24" t="str">
        <x:v>La Bola／Lhardy／Los Galayos</x:v>
      </x:c>
      <x:c r="H5" s="24" t="str">
        <x:v>通年扱い・営業日は別途確認</x:v>
      </x:c>
      <x:c r="I5" s="24" t="str">
        <x:v>P001, P003</x:v>
      </x:c>
      <x:c r="J5" s="24" t="n">
        <x:f>IF(I5="",0,LEN(I5)-LEN(SUBSTITUTE(I5,",",""))+1)</x:f>
        <x:v>2</x:v>
      </x:c>
      <x:c r="K5" s="24" t="str">
        <x:v>候補あり</x:v>
      </x:c>
      <x:c r="L5" s="24" t="str">
        <x:v>S18, S04, S33, S41</x:v>
      </x:c>
      <x:c r="M5" s="24" t="str">
        <x:v>https://www.esmadrid.com/cocidos-madrid-receta-la-clave
https://lhardy.com/carta/
https://www.losgalayos.net/documentos/carta_es-en.pdf
https://labola.es/en</x:v>
      </x:c>
      <x:c r="N5" s="24" t="str">
        <x:v>店ごとの提供段階を区別。La Bolaの2段階とLa Claveの4段階を例示し、3皿固定をやめる。</x:v>
      </x:c>
      <x:c r="O5" s="24" t="str">
        <x:v>価格の差は同一内容・同一コースの比較ではない。起源を一系統に断定しない。</x:v>
      </x:c>
      <x:c r="P5" s="24" t="str">
        <x:v>今回の更新点を確認。その他の継承事項は出典の確認範囲を参照。</x:v>
      </x:c>
    </x:row>
    <x:row r="6" ht="92" customHeight="1">
      <x:c r="A6" s="22" t="str">
        <x:v>M002</x:v>
      </x:c>
      <x:c r="B6" s="22" t="str">
        <x:v>カジョス・ア・ラ・マドリレーニャ</x:v>
      </x:c>
      <x:c r="C6" s="22" t="str">
        <x:v>Callos a la madrileña</x:v>
      </x:c>
      <x:c r="D6" s="22" t="str">
        <x:v>地域の伝統・産品／発祥の断定ではない</x:v>
      </x:c>
      <x:c r="E6" s="22" t="n">
        <x:v>15</x:v>
      </x:c>
      <x:c r="F6" s="22" t="str">
        <x:v>牛の胃などを煮込むカジョスは、内臓料理が好きなら外せない一皿。部位の構成は店ごとに違い、Los Galayosのメニューには胃だけでなく足と鼻先も挙がる。「牛の胃袋だけの煮込み」と決めつけず、チョリソーなど一緒に使う具も見てみよう。コシードと同じ煮込みでも、豆を中心とする料理ではなく、内臓の部位を味わう料理として区別できる。</x:v>
      </x:c>
      <x:c r="G6" s="22" t="str">
        <x:v>Casa Alberto／Casa Enriqueta／Los Galayos</x:v>
      </x:c>
      <x:c r="H6" s="22" t="str">
        <x:v>通年扱い・営業日は別途確認</x:v>
      </x:c>
      <x:c r="I6" s="22" t="str">
        <x:v>P002</x:v>
      </x:c>
      <x:c r="J6" s="22" t="n">
        <x:f>IF(I6="",0,LEN(I6)-LEN(SUBSTITUTE(I6,",",""))+1)</x:f>
        <x:v>1</x:v>
      </x:c>
      <x:c r="K6" s="22" t="str">
        <x:v>候補あり</x:v>
      </x:c>
      <x:c r="L6" s="22" t="str">
        <x:v>S06, S03, S33</x:v>
      </x:c>
      <x:c r="M6" s="22" t="str">
        <x:v>https://www.casaalberto.es/carta-restaurante-en?idIdioma=2
https://gallinejasenriqueta.es/nuestra-carta-la-carta
https://www.losgalayos.net/documentos/carta_es-en.pdf</x:v>
      </x:c>
      <x:c r="N6" s="22" t="str"/>
      <x:c r="O6" s="22" t="str">
        <x:v>チョリソーや香辛料の配合は店別に確認。</x:v>
      </x:c>
      <x:c r="P6" s="22" t="str">
        <x:v>前回の情報を継承。今回の全記述再確認ではない。</x:v>
      </x:c>
    </x:row>
    <x:row r="7" ht="92" customHeight="1">
      <x:c r="A7" s="24" t="str">
        <x:v>M003</x:v>
      </x:c>
      <x:c r="B7" s="24" t="str">
        <x:v>ガリネハスとエントレシホス</x:v>
      </x:c>
      <x:c r="C7" s="24" t="str">
        <x:v>Gallinejas y entresijos</x:v>
      </x:c>
      <x:c r="D7" s="24" t="str">
        <x:v>地域の伝統・産品／発祥の断定ではない</x:v>
      </x:c>
      <x:c r="E7" s="24" t="n">
        <x:v>16</x:v>
      </x:c>
      <x:c r="F7" s="24" t="str">
        <x:v>ガリネハスとエントレシホスは、どちらも羊の内臓を使うが同じ部位ではない。前者は腸、後者は腸間膜を揚げるもの。祭礼の食と結び付いた、マドリードの内臓料理を知る入口になる。両方を食べ比べるなら注文時に部位を確認したい。同じ揚げ物でも、皿に盛られた形と部位を見比べると違いが分かりやすい。</x:v>
      </x:c>
      <x:c r="G7" s="24" t="str">
        <x:v>Casa Enriqueta</x:v>
      </x:c>
      <x:c r="H7" s="24" t="str">
        <x:v>通年扱い・営業日は別途確認</x:v>
      </x:c>
      <x:c r="I7" s="24" t="str">
        <x:v>P019</x:v>
      </x:c>
      <x:c r="J7" s="24" t="n">
        <x:f>IF(I7="",0,LEN(I7)-LEN(SUBSTITUTE(I7,",",""))+1)</x:f>
        <x:v>1</x:v>
      </x:c>
      <x:c r="K7" s="24" t="str">
        <x:v>一部のみ</x:v>
      </x:c>
      <x:c r="L7" s="24" t="str">
        <x:v>S03, S16, S84</x:v>
      </x:c>
      <x:c r="M7" s="24" t="str">
        <x:v>https://gallinejasenriqueta.es/nuestra-carta-la-carta
https://blog.esmadrid.com/blog/es/2025/11/13/gallinejas-y-entresijos-el-madrid-castizo/
https://gallinejasenriqueta.es/san-isidro</x:v>
      </x:c>
      <x:c r="N7" s="24" t="str">
        <x:v>羊の腸と腸間膜を区別。既存P019はエントレシホスの写真で、2部位が両方写っているとは扱わない。</x:v>
      </x:c>
      <x:c r="O7" s="24" t="str">
        <x:v>写真P019はエントレシホスのみ。ガリネハスの写真も追加する。</x:v>
      </x:c>
      <x:c r="P7" s="24" t="str">
        <x:v>今回の更新点を確認。その他の継承事項は出典の確認範囲を参照。</x:v>
      </x:c>
    </x:row>
    <x:row r="8" ht="92" customHeight="1">
      <x:c r="A8" s="22" t="str">
        <x:v>M004</x:v>
      </x:c>
      <x:c r="B8" s="22" t="str">
        <x:v>カヌートス</x:v>
      </x:c>
      <x:c r="C8" s="22" t="str">
        <x:v>Canutos</x:v>
      </x:c>
      <x:c r="D8" s="22" t="str">
        <x:v>地域の伝統・産品／発祥の断定ではない</x:v>
      </x:c>
      <x:c r="E8" s="22" t="n">
        <x:v>17</x:v>
      </x:c>
      <x:c r="F8" s="22" t="str">
        <x:v>カヌートスは、Casa Enriquetaが羊の太い腸を使う揚げ物として説明している一品。ガリネハス、エントレシホスと並ぶと、見慣れない名前の連続に感じるかもしれないが、鍵は部位の違いにある。この店の説明を手がかりに、腸の太さや形を比べると分かりやすい。名称だけから一般的な肉巻き料理などを想像せず、店で使う部位を確かめよう。</x:v>
      </x:c>
      <x:c r="G8" s="22" t="str">
        <x:v>Casa Enriqueta</x:v>
      </x:c>
      <x:c r="H8" s="22" t="str">
        <x:v>通年扱い・営業日は別途確認</x:v>
      </x:c>
      <x:c r="I8" s="22" t="str"/>
      <x:c r="J8" s="22" t="n">
        <x:f>IF(I8="",0,LEN(I8)-LEN(SUBSTITUTE(I8,",",""))+1)</x:f>
        <x:v>0</x:v>
      </x:c>
      <x:c r="K8" s="22" t="str">
        <x:v>未確保</x:v>
      </x:c>
      <x:c r="L8" s="22" t="str">
        <x:v>S03, S84</x:v>
      </x:c>
      <x:c r="M8" s="22" t="str">
        <x:v>https://gallinejasenriqueta.es/nuestra-carta-la-carta
https://gallinejasenriqueta.es/san-isidro</x:v>
      </x:c>
      <x:c r="N8" s="22" t="str">
        <x:v>カヌートスの部位説明はS03の店固有説明に帰属させる。一般料理名の定義を広げない。</x:v>
      </x:c>
      <x:c r="O8" s="22" t="str">
        <x:v>他店の同名料理まで同じ部位と一般化しない。</x:v>
      </x:c>
      <x:c r="P8" s="22" t="str">
        <x:v>今回の更新点を確認。その他の継承事項は出典の確認範囲を参照。</x:v>
      </x:c>
    </x:row>
    <x:row r="9" ht="92" customHeight="1">
      <x:c r="A9" s="24" t="str">
        <x:v>M005</x:v>
      </x:c>
      <x:c r="B9" s="24" t="str">
        <x:v>羊のモジェハス</x:v>
      </x:c>
      <x:c r="C9" s="24" t="str">
        <x:v>Mollejas de cordero</x:v>
      </x:c>
      <x:c r="D9" s="24" t="str">
        <x:v>全国・他地方由来／首都で食べる一品</x:v>
      </x:c>
      <x:c r="E9" s="24"/>
      <x:c r="F9" s="24" t="str">
        <x:v>羊のモジェハスは、Casa Enriquetaではニンニクを合わせた鉄板料理として掲載されている。mollejasという語は動物によって指す部位が違うため、鶏の砂肝と同じものだと思って注文しないこと。羊の食用腺を用いる料理として、腸や耳の料理とは分けて選びたい。</x:v>
      </x:c>
      <x:c r="G9" s="24" t="str">
        <x:v>Casa Enriqueta</x:v>
      </x:c>
      <x:c r="H9" s="24" t="str">
        <x:v>通年扱い・営業日は別途確認</x:v>
      </x:c>
      <x:c r="I9" s="24" t="str"/>
      <x:c r="J9" s="24" t="n">
        <x:f>IF(I9="",0,LEN(I9)-LEN(SUBSTITUTE(I9,",",""))+1)</x:f>
        <x:v>0</x:v>
      </x:c>
      <x:c r="K9" s="24" t="str">
        <x:v>未確保</x:v>
      </x:c>
      <x:c r="L9" s="24" t="str">
        <x:v>S03</x:v>
      </x:c>
      <x:c r="M9" s="24" t="str">
        <x:v>https://gallinejasenriqueta.es/nuestra-carta-la-carta</x:v>
      </x:c>
      <x:c r="N9" s="24" t="str"/>
      <x:c r="O9" s="24" t="str">
        <x:v>胸腺などの厳密な解剖学的同定は仕入れにより確認。</x:v>
      </x:c>
      <x:c r="P9" s="24" t="str">
        <x:v>前回の情報を継承。今回の全記述再確認ではない。</x:v>
      </x:c>
    </x:row>
    <x:row r="10" ht="92" customHeight="1">
      <x:c r="A10" s="22" t="str">
        <x:v>M006</x:v>
      </x:c>
      <x:c r="B10" s="22" t="str">
        <x:v>サラホス</x:v>
      </x:c>
      <x:c r="C10" s="22" t="str">
        <x:v>Zarajos</x:v>
      </x:c>
      <x:c r="D10" s="22" t="str">
        <x:v>全国・他地方由来／首都で食べる一品</x:v>
      </x:c>
      <x:c r="E10" s="22"/>
      <x:c r="F10" s="22" t="str">
        <x:v>サラホスは、羊の腸を棒に巻いた姿が特徴的な料理。Casa Enriquetaの説明では、燻したものを揚げる形で紹介されている。棒に巻く成形と最後の加熱は別の工程なので、売り場に並ぶ成形品の写真だけを見て完成皿とは判断できない。食べる際は、その店の仕上げ方にも注目したい。</x:v>
      </x:c>
      <x:c r="G10" s="22" t="str">
        <x:v>Casa Enriqueta</x:v>
      </x:c>
      <x:c r="H10" s="22" t="str">
        <x:v>通年扱い・営業日は別途確認</x:v>
      </x:c>
      <x:c r="I10" s="22" t="str">
        <x:v>P051</x:v>
      </x:c>
      <x:c r="J10" s="22" t="n">
        <x:f>IF(I10="",0,LEN(I10)-LEN(SUBSTITUTE(I10,",",""))+1)</x:f>
        <x:v>1</x:v>
      </x:c>
      <x:c r="K10" s="22" t="str">
        <x:v>候補あり</x:v>
      </x:c>
      <x:c r="L10" s="22" t="str">
        <x:v>S03</x:v>
      </x:c>
      <x:c r="M10" s="22" t="str">
        <x:v>https://gallinejasenriqueta.es/nuestra-carta-la-carta</x:v>
      </x:c>
      <x:c r="N10" s="22" t="str"/>
      <x:c r="O10" s="22" t="str">
        <x:v>クエンカとの関係・発祥史は追加の郷土資料で確認。</x:v>
      </x:c>
      <x:c r="P10" s="22" t="str">
        <x:v>前回の情報を継承。今回の全記述再確認ではない。</x:v>
      </x:c>
    </x:row>
    <x:row r="11" ht="92" customHeight="1">
      <x:c r="A11" s="24" t="str">
        <x:v>M007</x:v>
      </x:c>
      <x:c r="B11" s="24" t="str">
        <x:v>豚耳の鉄板焼き</x:v>
      </x:c>
      <x:c r="C11" s="24" t="str">
        <x:v>Oreja a la plancha</x:v>
      </x:c>
      <x:c r="D11" s="24" t="str">
        <x:v>マドリードで定番・店の名物</x:v>
      </x:c>
      <x:c r="E11" s="24" t="n">
        <x:v>18</x:v>
      </x:c>
      <x:c r="F11" s="24" t="str">
        <x:v>豚耳を鉄板で焼く、酒場の内臓料理。羊の腸を使う揚げ物とは材料も調理法も違い、同じ内臓料理の章でも食べ方の幅が見える。Casa EnriquetaやEl Escarpínのメニューが注文先を探す手がかりになる。料理名はoreja a la plancha。豚耳の料理でも、煮込みやソース付きではなく鉄板焼きを選ぶときの目印になる。</x:v>
      </x:c>
      <x:c r="G11" s="24" t="str">
        <x:v>Casa Enriqueta／El Escarpín</x:v>
      </x:c>
      <x:c r="H11" s="24" t="str">
        <x:v>通年扱い・営業日は別途確認</x:v>
      </x:c>
      <x:c r="I11" s="24" t="str">
        <x:v>P038</x:v>
      </x:c>
      <x:c r="J11" s="24" t="n">
        <x:f>IF(I11="",0,LEN(I11)-LEN(SUBSTITUTE(I11,",",""))+1)</x:f>
        <x:v>1</x:v>
      </x:c>
      <x:c r="K11" s="24" t="str">
        <x:v>候補あり</x:v>
      </x:c>
      <x:c r="L11" s="24" t="str">
        <x:v>S03, S09, S01</x:v>
      </x:c>
      <x:c r="M11" s="24" t="str">
        <x:v>https://gallinejasenriqueta.es/nuestra-carta-la-carta
https://elescarpinsidreria.com/
https://www.esmadrid.com/de/madrider-gastronomie</x:v>
      </x:c>
      <x:c r="N11" s="24" t="str"/>
      <x:c r="O11" s="24" t="str">
        <x:v>下ゆで、味付け、ソースは店ごとのレシピ確認が必要。</x:v>
      </x:c>
      <x:c r="P11" s="24" t="str">
        <x:v>前回の情報を継承。今回の全記述再確認ではない。</x:v>
      </x:c>
    </x:row>
    <x:row r="12" ht="92" customHeight="1">
      <x:c r="A12" s="22" t="str">
        <x:v>M008</x:v>
      </x:c>
      <x:c r="B12" s="22" t="str">
        <x:v>ペピート・デ・テルネラ</x:v>
      </x:c>
      <x:c r="C12" s="22" t="str">
        <x:v>Pepito de ternera</x:v>
      </x:c>
      <x:c r="D12" s="22" t="str">
        <x:v>マドリードで定番・店の名物</x:v>
      </x:c>
      <x:c r="E12" s="22"/>
      <x:c r="F12" s="22" t="str">
        <x:v>ペピート・デ・テルネラは牛肉をパンに挟むサンドイッチ。マドリードのサンドをイカフライだけで終わらせず、肉の一品も比べたいときの候補だ。パンの種類や肉の仕上げ、付け合わせは店による。昔の店紹介に載っている場合は、現在も同じ商品を扱うかを確かめてから訪れよう。</x:v>
      </x:c>
      <x:c r="G12" s="22" t="str">
        <x:v>市観光局の専門記事に掲載される店を再確認</x:v>
      </x:c>
      <x:c r="H12" s="22" t="str">
        <x:v>通年扱い・営業日は別途確認</x:v>
      </x:c>
      <x:c r="I12" s="22" t="str">
        <x:v>P037</x:v>
      </x:c>
      <x:c r="J12" s="22" t="n">
        <x:f>IF(I12="",0,LEN(I12)-LEN(SUBSTITUTE(I12,",",""))+1)</x:f>
        <x:v>1</x:v>
      </x:c>
      <x:c r="K12" s="22" t="str">
        <x:v>候補あり</x:v>
      </x:c>
      <x:c r="L12" s="22" t="str">
        <x:v>S24</x:v>
      </x:c>
      <x:c r="M12" s="22" t="str">
        <x:v>https://blog.esmadrid.com/blog/es/2021/05/25/pepitos-de-ternera/</x:v>
      </x:c>
      <x:c r="N12" s="22" t="str"/>
      <x:c r="O12" s="22" t="str">
        <x:v>Fornosにまつわる命名譚は伝承と史料を区別。</x:v>
      </x:c>
      <x:c r="P12" s="22" t="str">
        <x:v>前回の情報を継承。今回の全記述再確認ではない。</x:v>
      </x:c>
    </x:row>
    <x:row r="13" ht="92" customHeight="1">
      <x:c r="A13" s="24" t="str">
        <x:v>M009</x:v>
      </x:c>
      <x:c r="B13" s="24" t="str">
        <x:v>マドリード風カタツムリ煮込み</x:v>
      </x:c>
      <x:c r="C13" s="24" t="str">
        <x:v>Caracoles a la madrileña</x:v>
      </x:c>
      <x:c r="D13" s="24" t="str">
        <x:v>マドリードで定番・店の名物</x:v>
      </x:c>
      <x:c r="E13" s="24" t="n">
        <x:v>19</x:v>
      </x:c>
      <x:c r="F13" s="24" t="str">
        <x:v>殻付きのカタツムリを煮込む料理で、Casa Albertoなどのメニューにも登場する。「カタツムリ料理はフランスだけ」というイメージを変える、マドリードの酒場料理の一つだ。ニンニクバターで焼く料理と同じものではない。現地のメニューでcaracolesを探し、辛さやソースの内容は店で確認しよう。</x:v>
      </x:c>
      <x:c r="G13" s="24" t="str">
        <x:v>Casa Alberto</x:v>
      </x:c>
      <x:c r="H13" s="24" t="str">
        <x:v>通年扱い・営業日は別途確認</x:v>
      </x:c>
      <x:c r="I13" s="24" t="str">
        <x:v>P013</x:v>
      </x:c>
      <x:c r="J13" s="24" t="n">
        <x:f>IF(I13="",0,LEN(I13)-LEN(SUBSTITUTE(I13,",",""))+1)</x:f>
        <x:v>1</x:v>
      </x:c>
      <x:c r="K13" s="24" t="str">
        <x:v>候補あり</x:v>
      </x:c>
      <x:c r="L13" s="24" t="str">
        <x:v>S06, S01</x:v>
      </x:c>
      <x:c r="M13" s="24" t="str">
        <x:v>https://www.casaalberto.es/carta-restaurante-en?idIdioma=2
https://www.esmadrid.com/de/madrider-gastronomie</x:v>
      </x:c>
      <x:c r="N13" s="24" t="str"/>
      <x:c r="O13" s="24" t="str">
        <x:v>使う種や具体的なスパイスは店別確認。</x:v>
      </x:c>
      <x:c r="P13" s="24" t="str">
        <x:v>前回の情報を継承。今回の全記述再確認ではない。</x:v>
      </x:c>
    </x:row>
    <x:row r="14" ht="92" customHeight="1">
      <x:c r="A14" s="22" t="str">
        <x:v>M010</x:v>
      </x:c>
      <x:c r="B14" s="22" t="str">
        <x:v>ガジーナ・エン・ペピトリア</x:v>
      </x:c>
      <x:c r="C14" s="22" t="str">
        <x:v>Gallina en pepitoria</x:v>
      </x:c>
      <x:c r="D14" s="22" t="str">
        <x:v>地域の伝統・産品／発祥の断定ではない</x:v>
      </x:c>
      <x:c r="E14" s="22" t="n">
        <x:v>20</x:v>
      </x:c>
      <x:c r="F14" s="22" t="str">
        <x:v>ペピトリアは鶏を煮込むソースの料理。マドリードの料理専門団体がまとめたレシピでは、アーモンドや卵黄などがソースの組立てに関わる。黄色い色だけでカレーに似た料理と考えるより、ナッツと卵をどう使うかに注目したい。Casa Ciriacoのメニューにもある一方、料理の系譜はカスティーリャに広がるもので、マドリードで発明された鶏料理と断定はできない。</x:v>
      </x:c>
      <x:c r="G14" s="22" t="str">
        <x:v>Casa Ciriaco／Casa Alberto</x:v>
      </x:c>
      <x:c r="H14" s="22" t="str">
        <x:v>通年扱い・営業日は別途確認</x:v>
      </x:c>
      <x:c r="I14" s="22" t="str">
        <x:v>P010</x:v>
      </x:c>
      <x:c r="J14" s="22" t="n">
        <x:f>IF(I14="",0,LEN(I14)-LEN(SUBSTITUTE(I14,",",""))+1)</x:f>
        <x:v>1</x:v>
      </x:c>
      <x:c r="K14" s="22" t="str">
        <x:v>候補あり</x:v>
      </x:c>
      <x:c r="L14" s="22" t="str">
        <x:v>S07, S06, S72</x:v>
      </x:c>
      <x:c r="M14" s="22" t="str">
        <x:v>https://www.casaciriaco.es/carta-restaurante
https://www.casaalberto.es/carta-restaurante-en?idIdioma=2
https://www.esmadrid.com/sites/default/files/historia_culinaria_de_madrid.pdf</x:v>
      </x:c>
      <x:c r="N14" s="22" t="str">
        <x:v>卵黄・アーモンド等を使うソースまで補強。マドリード限定の発明とはせず、カスティーリャの料理の系譜として紹介。</x:v>
      </x:c>
      <x:c r="O14" s="22" t="str">
        <x:v>一般論でアーモンド・卵黄などを列挙する前に採用店の配合を確認。</x:v>
      </x:c>
      <x:c r="P14" s="22" t="str">
        <x:v>今回の更新点を確認。その他の継承事項は出典の確認範囲を参照。</x:v>
      </x:c>
    </x:row>
    <x:row r="15" ht="92" customHeight="1">
      <x:c r="A15" s="24" t="str">
        <x:v>M011</x:v>
      </x:c>
      <x:c r="B15" s="24" t="str">
        <x:v>イカフライのボカディージョ</x:v>
      </x:c>
      <x:c r="C15" s="24" t="str">
        <x:v>Bocadillo de calamares</x:v>
      </x:c>
      <x:c r="D15" s="24" t="str">
        <x:v>マドリードで定番・店の名物</x:v>
      </x:c>
      <x:c r="E15" s="24" t="n">
        <x:v>1</x:v>
      </x:c>
      <x:c r="F15" s="24" t="str">
        <x:v>揚げたイカをパンに挟むボカディージョ。内陸の首都を代表する軽食として、市の観光案内にも登場する。マヨール広場周辺の散策と組み合わせると、最初の一食を決めやすい。ソースを使う店もあり、すべてを同じ味付けと考えないこと。パンに挟むイカの量や衣の形、ソースの有無も店ごとの違いになる。</x:v>
      </x:c>
      <x:c r="G15" s="24" t="str">
        <x:v>Tablafinaの料理人提供レシピ／市内の専門店</x:v>
      </x:c>
      <x:c r="H15" s="24" t="str">
        <x:v>通年扱い・営業日は別途確認</x:v>
      </x:c>
      <x:c r="I15" s="24" t="str">
        <x:v>P012</x:v>
      </x:c>
      <x:c r="J15" s="24" t="n">
        <x:f>IF(I15="",0,LEN(I15)-LEN(SUBSTITUTE(I15,",",""))+1)</x:f>
        <x:v>1</x:v>
      </x:c>
      <x:c r="K15" s="24" t="str">
        <x:v>候補あり</x:v>
      </x:c>
      <x:c r="L15" s="24" t="str">
        <x:v>S23, S48</x:v>
      </x:c>
      <x:c r="M15" s="24" t="str">
        <x:v>https://www.esmadrid.com/bocadillo-calamares-receta-tablafina-madrid
https://www.esmadrid.com/informacion-turistica/plaza-mayor-madrid</x:v>
      </x:c>
      <x:c r="N15" s="24" t="str"/>
      <x:c r="O15" s="24" t="str">
        <x:v>『なぜ内陸で普及したか』の歴史は別に確認し、輸送史を創作しない。</x:v>
      </x:c>
      <x:c r="P15" s="24" t="str">
        <x:v>前回の情報を継承。今回の全記述再確認ではない。</x:v>
      </x:c>
    </x:row>
    <x:row r="16" ht="92" customHeight="1">
      <x:c r="A16" s="22" t="str">
        <x:v>M012</x:v>
      </x:c>
      <x:c r="B16" s="22" t="str">
        <x:v>タラの衣揚げ／ソルダディートス</x:v>
      </x:c>
      <x:c r="C16" s="22" t="str">
        <x:v>Bacalao rebozado / Soldaditos de Pavía</x:v>
      </x:c>
      <x:c r="D16" s="22" t="str">
        <x:v>マドリードで定番・店の名物</x:v>
      </x:c>
      <x:c r="E16" s="22" t="n">
        <x:v>5</x:v>
      </x:c>
      <x:c r="F16" s="22" t="str">
        <x:v>タラに衣を付けて揚げる料理。市の料理案内にはSoldaditos de Pavíaも登場するが、タラの衣揚げ全般を必ず同じ名称・形として扱わない方がよい。ソル近くのCasa Labraはタラの衣揚げとタラのクロケタを探せる店の一つ。揚げ物を二つ並べるなら、魚の身を衣で包むものと、中身をまとめて成形するクロケタの違いに注目したい。</x:v>
      </x:c>
      <x:c r="G16" s="22" t="str">
        <x:v>Casa Alberto／市観光局のEl Palentinoレシピ</x:v>
      </x:c>
      <x:c r="H16" s="22" t="str">
        <x:v>通年扱い・営業日は別途確認</x:v>
      </x:c>
      <x:c r="I16" s="22" t="str">
        <x:v>P005</x:v>
      </x:c>
      <x:c r="J16" s="22" t="n">
        <x:f>IF(I16="",0,LEN(I16)-LEN(SUBSTITUTE(I16,",",""))+1)</x:f>
        <x:v>1</x:v>
      </x:c>
      <x:c r="K16" s="22" t="str">
        <x:v>候補あり</x:v>
      </x:c>
      <x:c r="L16" s="22" t="str">
        <x:v>S06, S17, S01, S40, S70</x:v>
      </x:c>
      <x:c r="M16" s="22" t="str">
        <x:v>https://www.casaalberto.es/carta-restaurante-en?idIdioma=2
https://www.esmadrid.com/recetas-madrid
https://www.esmadrid.com/de/madrider-gastronomie
https://www.esmadrid.com/gastronomia-madrid
https://www.esmadrid.com/restaurantes/casa-labra</x:v>
      </x:c>
      <x:c r="N16" s="22" t="str"/>
      <x:c r="O16" s="22" t="str">
        <x:v>全てのタラの衣揚げをソルダディートスと断定しない。</x:v>
      </x:c>
      <x:c r="P16" s="22" t="str">
        <x:v>前回の情報を継承。今回の全記述再確認ではない。</x:v>
      </x:c>
    </x:row>
    <x:row r="17" ht="92" customHeight="1">
      <x:c r="A17" s="24" t="str">
        <x:v>M013</x:v>
      </x:c>
      <x:c r="B17" s="24" t="str">
        <x:v>ベスーゴのマドリード風</x:v>
      </x:c>
      <x:c r="C17" s="24" t="str">
        <x:v>Besugo a la madrileña</x:v>
      </x:c>
      <x:c r="D17" s="24" t="str">
        <x:v>地域の伝統・産品／発祥の断定ではない</x:v>
      </x:c>
      <x:c r="E17" s="24" t="n">
        <x:v>21</x:v>
      </x:c>
      <x:c r="F17" s="24" t="str">
        <x:v>ベスーゴをマドリード風に仕上げる伝統的な魚料理。市の郷土料理案内にも載っており、イカサンドや塩ダラ以外にも魚料理を探したい人の候補になる。魚名はbesugoのまま添えて、別の白身魚で代用した皿と区別したい。現在の提供店と予約条件は個別確認が必要で、どの老舗でも通年食べられるとは考えない方がよい。</x:v>
      </x:c>
      <x:c r="G17" s="24" t="str">
        <x:v>市観光局の郷土料理資料</x:v>
      </x:c>
      <x:c r="H17" s="24" t="str">
        <x:v>通年扱い・営業日は別途確認</x:v>
      </x:c>
      <x:c r="I17" s="24" t="str"/>
      <x:c r="J17" s="24" t="n">
        <x:f>IF(I17="",0,LEN(I17)-LEN(SUBSTITUTE(I17,",",""))+1)</x:f>
        <x:v>0</x:v>
      </x:c>
      <x:c r="K17" s="24" t="str">
        <x:v>未確保</x:v>
      </x:c>
      <x:c r="L17" s="24" t="str">
        <x:v>S01</x:v>
      </x:c>
      <x:c r="M17" s="24" t="str">
        <x:v>https://www.esmadrid.com/de/madrider-gastronomie</x:v>
      </x:c>
      <x:c r="N17" s="24" t="str"/>
      <x:c r="O17" s="24" t="str">
        <x:v>日本のマダイとの安易な同一視を避ける。現行店・レシピ・写真を追加確認。</x:v>
      </x:c>
      <x:c r="P17" s="24" t="str">
        <x:v>前回の情報を継承。今回の全記述再確認ではない。</x:v>
      </x:c>
    </x:row>
    <x:row r="18" ht="92" customHeight="1">
      <x:c r="A18" s="22" t="str">
        <x:v>M014</x:v>
      </x:c>
      <x:c r="B18" s="22" t="str">
        <x:v>ラルディのコンソメ</x:v>
      </x:c>
      <x:c r="C18" s="22" t="str">
        <x:v>Consomé de Lhardy</x:v>
      </x:c>
      <x:c r="D18" s="22" t="str">
        <x:v>マドリードで定番・店の名物</x:v>
      </x:c>
      <x:c r="E18" s="22" t="n">
        <x:v>22</x:v>
      </x:c>
      <x:c r="F18" s="22" t="str">
        <x:v>老舗Lhardyを紹介するなら、コンソメも一つの入口になる。店の公式サイトで販売が紹介されている一杯で、大きな肉料理とは違う選び方ができる。Lhardyには食事のメニューと販売商品があるため、レストランでの注文と持ち帰り商品を混同しないようにしたい。訪問時は、希望する形で飲めるかを確認しよう。</x:v>
      </x:c>
      <x:c r="G18" s="22" t="str">
        <x:v>Lhardy・Carrera de San Jerónimo店など</x:v>
      </x:c>
      <x:c r="H18" s="22" t="str">
        <x:v>通年扱い・営業日は別途確認</x:v>
      </x:c>
      <x:c r="I18" s="22" t="str"/>
      <x:c r="J18" s="22" t="n">
        <x:f>IF(I18="",0,LEN(I18)-LEN(SUBSTITUTE(I18,",",""))+1)</x:f>
        <x:v>0</x:v>
      </x:c>
      <x:c r="K18" s="22" t="str">
        <x:v>未確保</x:v>
      </x:c>
      <x:c r="L18" s="22" t="str">
        <x:v>S05, S04</x:v>
      </x:c>
      <x:c r="M18" s="22" t="str">
        <x:v>https://lhardy.com/
https://lhardy.com/carta/</x:v>
      </x:c>
      <x:c r="N18" s="22" t="str"/>
      <x:c r="O18" s="22" t="str">
        <x:v>取材なしに飲み方・器・自由サービスの現在形を断定しない。</x:v>
      </x:c>
      <x:c r="P18" s="22" t="str">
        <x:v>前回の情報を継承。今回の全記述再確認ではない。</x:v>
      </x:c>
    </x:row>
    <x:row r="19" ht="92" customHeight="1">
      <x:c r="A19" s="24" t="str">
        <x:v>M015</x:v>
      </x:c>
      <x:c r="B19" s="24" t="str">
        <x:v>ウエボス・ロトス</x:v>
      </x:c>
      <x:c r="C19" s="24" t="str">
        <x:v>Huevos rotos</x:v>
      </x:c>
      <x:c r="D19" s="24" t="str">
        <x:v>マドリードで定番・店の名物</x:v>
      </x:c>
      <x:c r="E19" s="24" t="n">
        <x:v>14</x:v>
      </x:c>
      <x:c r="F19" s="24" t="str">
        <x:v>ジャガイモに卵を合わせ、崩して食べるウエボス・ロトス。ハムを載せる例もあり、卵を崩す前後で皿の見え方が変わる料理だ。El Escarpínなどのメニューが注文先の候補になる。料理名だけでは追加具材まで分からないので、ハム入りか別の具が付くかを読むとよい。トルティージャとは卵とジャガイモのまとめ方が違う。</x:v>
      </x:c>
      <x:c r="G19" s="24" t="str">
        <x:v>El Escarpín</x:v>
      </x:c>
      <x:c r="H19" s="24" t="str">
        <x:v>通年扱い・営業日は別途確認</x:v>
      </x:c>
      <x:c r="I19" s="24" t="str">
        <x:v>P011</x:v>
      </x:c>
      <x:c r="J19" s="24" t="n">
        <x:f>IF(I19="",0,LEN(I19)-LEN(SUBSTITUTE(I19,",",""))+1)</x:f>
        <x:v>1</x:v>
      </x:c>
      <x:c r="K19" s="24" t="str">
        <x:v>候補あり</x:v>
      </x:c>
      <x:c r="L19" s="24" t="str">
        <x:v>S09, S65</x:v>
      </x:c>
      <x:c r="M19" s="24" t="str">
        <x:v>https://elescarpinsidreria.com/
https://www.esmadrid.com/barrios-de-madrid/latina</x:v>
      </x:c>
      <x:c r="N19" s="24" t="str"/>
      <x:c r="O19" s="24" t="str">
        <x:v>ハム入りなどのトッピングは別の品数に数えない。</x:v>
      </x:c>
      <x:c r="P19" s="24" t="str">
        <x:v>前回の情報を継承。今回の全記述再確認ではない。</x:v>
      </x:c>
    </x:row>
    <x:row r="20" ht="92" customHeight="1">
      <x:c r="A20" s="22" t="str">
        <x:v>M016</x:v>
      </x:c>
      <x:c r="B20" s="22" t="str">
        <x:v>牛尾の煮込み</x:v>
      </x:c>
      <x:c r="C20" s="22" t="str">
        <x:v>Rabo de toro / rabo de ternera</x:v>
      </x:c>
      <x:c r="D20" s="22" t="str">
        <x:v>全国・他地方由来／首都で食べる一品</x:v>
      </x:c>
      <x:c r="E20" s="22" t="n">
        <x:v>23</x:v>
      </x:c>
      <x:c r="F20" s="22" t="str">
        <x:v>牛の尾を煮込む料理で、Casa Alberto、Casa Ciriaco、Los Galayosなどのメニューに関連する一品がある。rabo de toroという名前だけで、使う肉が闘牛由来だと断定しないこと。店によってrabo de terneraなど表記も異なる。カジョスの胃、カリジェーラの頬と並べて、牛のどの部位を食べるのかを比べると分かりやすい。</x:v>
      </x:c>
      <x:c r="G20" s="22" t="str">
        <x:v>Casa Alberto／Casa Ciriaco／Los Galayos</x:v>
      </x:c>
      <x:c r="H20" s="22" t="str">
        <x:v>通年扱い・営業日は別途確認</x:v>
      </x:c>
      <x:c r="I20" s="22" t="str"/>
      <x:c r="J20" s="22" t="n">
        <x:f>IF(I20="",0,LEN(I20)-LEN(SUBSTITUTE(I20,",",""))+1)</x:f>
        <x:v>0</x:v>
      </x:c>
      <x:c r="K20" s="22" t="str">
        <x:v>未確保</x:v>
      </x:c>
      <x:c r="L20" s="22" t="str">
        <x:v>S06, S07, S33</x:v>
      </x:c>
      <x:c r="M20" s="22" t="str">
        <x:v>https://www.casaalberto.es/carta-restaurante-en?idIdioma=2
https://www.casaciriaco.es/carta-restaurante
https://www.losgalayos.net/documentos/carta_es-en.pdf</x:v>
      </x:c>
      <x:c r="N20" s="22" t="str"/>
      <x:c r="O20" s="22" t="str">
        <x:v>rabo de toroという一般名称から肉の由来を断定しない。</x:v>
      </x:c>
      <x:c r="P20" s="22" t="str">
        <x:v>前回の情報を継承。今回の全記述再確認ではない。</x:v>
      </x:c>
    </x:row>
    <x:row r="21" ht="92" customHeight="1">
      <x:c r="A21" s="24" t="str">
        <x:v>M017</x:v>
      </x:c>
      <x:c r="B21" s="24" t="str">
        <x:v>カリジャーダ（頬肉の煮込み）</x:v>
      </x:c>
      <x:c r="C21" s="24" t="str">
        <x:v>Carrillada / carrilleras</x:v>
      </x:c>
      <x:c r="D21" s="24" t="str">
        <x:v>全国・他地方由来／首都で食べる一品</x:v>
      </x:c>
      <x:c r="E21" s="24"/>
      <x:c r="F21" s="24" t="str">
        <x:v>頬肉を使う煮込み。メニューではcarrilladaやcarrillerasという語が目印になる。尾肉の煮込みと似た色の皿でも、使う部位は別だ。Casa Albertoのメニューなどを手がかりに、牛か豚か、どのソースを合わせるかまで確かめて選びたい。</x:v>
      </x:c>
      <x:c r="G21" s="24" t="str">
        <x:v>Casa Alberto</x:v>
      </x:c>
      <x:c r="H21" s="24" t="str">
        <x:v>通年扱い・営業日は別途確認</x:v>
      </x:c>
      <x:c r="I21" s="24" t="str"/>
      <x:c r="J21" s="24" t="n">
        <x:f>IF(I21="",0,LEN(I21)-LEN(SUBSTITUTE(I21,",",""))+1)</x:f>
        <x:v>0</x:v>
      </x:c>
      <x:c r="K21" s="24" t="str">
        <x:v>未確保</x:v>
      </x:c>
      <x:c r="L21" s="24" t="str">
        <x:v>S06</x:v>
      </x:c>
      <x:c r="M21" s="24" t="str">
        <x:v>https://www.casaalberto.es/carta-restaurante-en?idIdioma=2</x:v>
      </x:c>
      <x:c r="N21" s="24" t="str"/>
      <x:c r="O21" s="24" t="str">
        <x:v>牛・豚の別やソースは採用メニューで確認。</x:v>
      </x:c>
      <x:c r="P21" s="24" t="str">
        <x:v>前回の情報を継承。今回の全記述再確認ではない。</x:v>
      </x:c>
    </x:row>
    <x:row r="22" ht="92" customHeight="1">
      <x:c r="A22" s="22" t="str">
        <x:v>M018</x:v>
      </x:c>
      <x:c r="B22" s="22" t="str">
        <x:v>アルボンディガス</x:v>
      </x:c>
      <x:c r="C22" s="22" t="str">
        <x:v>Albóndigas</x:v>
      </x:c>
      <x:c r="D22" s="22" t="str">
        <x:v>全国・他地方由来／首都で食べる一品</x:v>
      </x:c>
      <x:c r="E22" s="22"/>
      <x:c r="F22" s="22" t="str">
        <x:v>アルボンディガスはソースを合わせる肉団子料理。Casa AlbertoやCasa Ciriacoのような店でも探せる、家庭料理と外食をつなぐ一皿だ。使うひき肉の種類や配合は店ごとに違う。珍しい部位の料理ばかりを並べず、こうした親しみやすい料理を一つ入れると食事を組みやすい。</x:v>
      </x:c>
      <x:c r="G22" s="22" t="str">
        <x:v>Casa Alberto／Casa Ciriaco</x:v>
      </x:c>
      <x:c r="H22" s="22" t="str">
        <x:v>通年扱い・営業日は別途確認</x:v>
      </x:c>
      <x:c r="I22" s="22" t="str"/>
      <x:c r="J22" s="22" t="n">
        <x:f>IF(I22="",0,LEN(I22)-LEN(SUBSTITUTE(I22,",",""))+1)</x:f>
        <x:v>0</x:v>
      </x:c>
      <x:c r="K22" s="22" t="str">
        <x:v>未確保</x:v>
      </x:c>
      <x:c r="L22" s="22" t="str">
        <x:v>S06, S07</x:v>
      </x:c>
      <x:c r="M22" s="22" t="str">
        <x:v>https://www.casaalberto.es/carta-restaurante-en?idIdioma=2
https://www.casaciriaco.es/carta-restaurante</x:v>
      </x:c>
      <x:c r="N22" s="22" t="str"/>
      <x:c r="O22" s="22" t="str">
        <x:v>Los GalayosのBBQソース版を伝統的な全店共通レシピとはしない。</x:v>
      </x:c>
      <x:c r="P22" s="22" t="str">
        <x:v>前回の情報を継承。今回の全記述再確認ではない。</x:v>
      </x:c>
    </x:row>
    <x:row r="23" ht="92" customHeight="1">
      <x:c r="A23" s="24" t="str">
        <x:v>M019</x:v>
      </x:c>
      <x:c r="B23" s="24" t="str">
        <x:v>ニンニクスープ</x:v>
      </x:c>
      <x:c r="C23" s="24" t="str">
        <x:v>Sopa de ajo / sopa castellana</x:v>
      </x:c>
      <x:c r="D23" s="24" t="str">
        <x:v>全国・他地方由来／首都で食べる一品</x:v>
      </x:c>
      <x:c r="E23" s="24"/>
      <x:c r="F23" s="24" t="str">
        <x:v>ニンニク、パン、卵などを使う温かいスープ。市のレシピにはBotínの例があり、Los Galayosのメニューにはチンチョンのニンニクを使う説明もある。パンを添えるだけでなく、料理の中へ戻す食べ方に注目したい。スープ・カステジャーナという名前で見かける場合もある。</x:v>
      </x:c>
      <x:c r="G23" s="24" t="str">
        <x:v>Botínのレシピ／Los Galayos</x:v>
      </x:c>
      <x:c r="H23" s="24" t="str">
        <x:v>通年扱い・営業日は別途確認</x:v>
      </x:c>
      <x:c r="I23" s="24" t="str"/>
      <x:c r="J23" s="24" t="n">
        <x:f>IF(I23="",0,LEN(I23)-LEN(SUBSTITUTE(I23,",",""))+1)</x:f>
        <x:v>0</x:v>
      </x:c>
      <x:c r="K23" s="24" t="str">
        <x:v>未確保</x:v>
      </x:c>
      <x:c r="L23" s="24" t="str">
        <x:v>S19, S33</x:v>
      </x:c>
      <x:c r="M23" s="24" t="str">
        <x:v>https://www.esmadrid.com/sopas-madrid-receta-casa-botin
https://www.losgalayos.net/documentos/carta_es-en.pdf</x:v>
      </x:c>
      <x:c r="N23" s="24" t="str"/>
      <x:c r="O23" s="24" t="str">
        <x:v>S33の一例はハム・燻製チョリソー・卵・パン・パプリカ・ニンニク。</x:v>
      </x:c>
      <x:c r="P23" s="24" t="str">
        <x:v>前回の情報を継承。今回の全記述再確認ではない。</x:v>
      </x:c>
    </x:row>
    <x:row r="24" ht="92" customHeight="1">
      <x:c r="A24" s="22" t="str">
        <x:v>M020</x:v>
      </x:c>
      <x:c r="B24" s="22" t="str">
        <x:v>ポタヘ・デ・ビヒリア</x:v>
      </x:c>
      <x:c r="C24" s="22" t="str">
        <x:v>Potaje de vigilia</x:v>
      </x:c>
      <x:c r="D24" s="22" t="str">
        <x:v>全国・他地方由来／首都で食べる一品</x:v>
      </x:c>
      <x:c r="E24" s="22" t="n">
        <x:v>24</x:v>
      </x:c>
      <x:c r="F24" s="22" t="str">
        <x:v>ひよこ豆、ホウレンソウ、タラなどを合わせるポタヘ・デ・ビヒリアは、肉を控える時期の食文化とつながる煮込み。肉を多く使うコシードと並べると、同じ豆でも別の料理になることが分かる。魚を含むので、菜食料理という意味での「精進料理」ではない。聖週間などの時期に探す際も、提供日とその店の具材を確認したい。</x:v>
      </x:c>
      <x:c r="G24" s="22" t="str">
        <x:v>市観光局の料理人レシピ一覧</x:v>
      </x:c>
      <x:c r="H24" s="22" t="str">
        <x:v>四旬節・聖週間との関係を紹介</x:v>
      </x:c>
      <x:c r="I24" s="22" t="str"/>
      <x:c r="J24" s="22" t="n">
        <x:f>IF(I24="",0,LEN(I24)-LEN(SUBSTITUTE(I24,",",""))+1)</x:f>
        <x:v>0</x:v>
      </x:c>
      <x:c r="K24" s="22" t="str">
        <x:v>未確保</x:v>
      </x:c>
      <x:c r="L24" s="22" t="str">
        <x:v>S17, S01</x:v>
      </x:c>
      <x:c r="M24" s="22" t="str">
        <x:v>https://www.esmadrid.com/recetas-madrid
https://www.esmadrid.com/de/madrider-gastronomie</x:v>
      </x:c>
      <x:c r="N24" s="22" t="str">
        <x:v>「精進料理」を削除。タラを含むためベジタリアン食と誤案内しない。</x:v>
      </x:c>
      <x:c r="O24" s="22" t="str">
        <x:v>個別レシピ本文と季節営業の追加確認が必要。</x:v>
      </x:c>
      <x:c r="P24" s="22" t="str">
        <x:v>今回の更新点を確認。その他の継承事項は出典の確認範囲を参照。</x:v>
      </x:c>
    </x:row>
    <x:row r="25" ht="92" customHeight="1">
      <x:c r="A25" s="24" t="str">
        <x:v>M021</x:v>
      </x:c>
      <x:c r="B25" s="24" t="str">
        <x:v>パタタス・ブラバス</x:v>
      </x:c>
      <x:c r="C25" s="24" t="str">
        <x:v>Patatas bravas</x:v>
      </x:c>
      <x:c r="D25" s="24" t="str">
        <x:v>マドリードで定番・店の名物</x:v>
      </x:c>
      <x:c r="E25" s="24" t="n">
        <x:v>7</x:v>
      </x:c>
      <x:c r="F25" s="24" t="str">
        <x:v>ジャガイモにブラバソースを合わせる酒場の一皿。単純に見える分、ジャガイモの切り方、ソースのかけ方、辛さの違いを見つけやすい。赤いソースだからケチャップ味、という説明は避けたい。トルティージャと合わせれば、同じジャガイモを使った二つの食べ方を少量ずつ比べられる。皿の大きさはメニューで確認しよう。</x:v>
      </x:c>
      <x:c r="G25" s="24" t="str">
        <x:v>Casa Enriqueta／El Escarpín／La Tajadaレシピ</x:v>
      </x:c>
      <x:c r="H25" s="24" t="str">
        <x:v>通年扱い・営業日は別途確認</x:v>
      </x:c>
      <x:c r="I25" s="24" t="str">
        <x:v>P052</x:v>
      </x:c>
      <x:c r="J25" s="24" t="n">
        <x:f>IF(I25="",0,LEN(I25)-LEN(SUBSTITUTE(I25,",",""))+1)</x:f>
        <x:v>1</x:v>
      </x:c>
      <x:c r="K25" s="24" t="str">
        <x:v>候補あり</x:v>
      </x:c>
      <x:c r="L25" s="24" t="str">
        <x:v>S03, S09, S17, S40</x:v>
      </x:c>
      <x:c r="M25" s="24" t="str">
        <x:v>https://gallinejasenriqueta.es/nuestra-carta-la-carta
https://elescarpinsidreria.com/
https://www.esmadrid.com/recetas-madrid
https://www.esmadrid.com/gastronomia-madrid</x:v>
      </x:c>
      <x:c r="N25" s="24" t="str">
        <x:v>撮影地に矛盾のあったP031を保留のまま残し、別原典のP052を追加。現店の料理写真とはしない。</x:v>
      </x:c>
      <x:c r="O25" s="24" t="str">
        <x:v>P031は撮影地が矛盾するため採用保留。新しい現地写真が必要。</x:v>
      </x:c>
      <x:c r="P25" s="24" t="str">
        <x:v>今回の更新点を確認。その他の継承事項は出典の確認範囲を参照。</x:v>
      </x:c>
    </x:row>
    <x:row r="26" ht="92" customHeight="1">
      <x:c r="A26" s="22" t="str">
        <x:v>M022</x:v>
      </x:c>
      <x:c r="B26" s="22" t="str">
        <x:v>クロケタ</x:v>
      </x:c>
      <x:c r="C26" s="22" t="str">
        <x:v>Croquetas</x:v>
      </x:c>
      <x:c r="D26" s="22" t="str">
        <x:v>全国・他地方由来／首都で食べる一品</x:v>
      </x:c>
      <x:c r="E26" s="22" t="n">
        <x:v>9</x:v>
      </x:c>
      <x:c r="F26" s="22" t="str">
        <x:v>ハムや煮込みの具などを使う、小さなクロケタ。Casa Alberto、Lhardy、Casa Enriquetaなどでは、それぞれの具材の版を探せる。見た目が似ていても中身は同じではないので、jamón、cocido、bacalaoといった具材名を読むのが選び方の近道。肉の煮込みを食べた後なら、魚を使うものを選ぶという組合せもできる。</x:v>
      </x:c>
      <x:c r="G26" s="22" t="str">
        <x:v>Casa Alberto／Lhardy／Casa Enriqueta</x:v>
      </x:c>
      <x:c r="H26" s="22" t="str">
        <x:v>通年扱い・営業日は別途確認</x:v>
      </x:c>
      <x:c r="I26" s="22" t="str">
        <x:v>P027</x:v>
      </x:c>
      <x:c r="J26" s="22" t="n">
        <x:f>IF(I26="",0,LEN(I26)-LEN(SUBSTITUTE(I26,",",""))+1)</x:f>
        <x:v>1</x:v>
      </x:c>
      <x:c r="K26" s="22" t="str">
        <x:v>候補あり</x:v>
      </x:c>
      <x:c r="L26" s="22" t="str">
        <x:v>S06, S04, S03, S40</x:v>
      </x:c>
      <x:c r="M26" s="22" t="str">
        <x:v>https://www.casaalberto.es/carta-restaurante-en?idIdioma=2
https://lhardy.com/carta/
https://gallinejasenriqueta.es/nuestra-carta-la-carta
https://www.esmadrid.com/gastronomia-madrid</x:v>
      </x:c>
      <x:c r="N26" s="22" t="str"/>
      <x:c r="O26" s="22" t="str">
        <x:v>P027はハム入り。コシード入りと表示しない。</x:v>
      </x:c>
      <x:c r="P26" s="22" t="str">
        <x:v>前回の情報を継承。今回の全記述再確認ではない。</x:v>
      </x:c>
    </x:row>
    <x:row r="27" ht="92" customHeight="1">
      <x:c r="A27" s="24" t="str">
        <x:v>M023</x:v>
      </x:c>
      <x:c r="B27" s="24" t="str">
        <x:v>ジャガイモのトルティージャ</x:v>
      </x:c>
      <x:c r="C27" s="24" t="str">
        <x:v>Tortilla de patatas</x:v>
      </x:c>
      <x:c r="D27" s="24" t="str">
        <x:v>全国・他地方由来／首都で食べる一品</x:v>
      </x:c>
      <x:c r="E27" s="24" t="n">
        <x:v>8</x:v>
      </x:c>
      <x:c r="F27" s="24" t="str">
        <x:v>卵とジャガイモを主体にしたトルティージャ。全国的な料理だが、マドリードでも酒場や販売店で出会える定番だ。玉ねぎ入りかどうか、切り分け売りか一枚なのかで注文の仕方が変わる。大きな煮込みの前に軽く試すなら、一切れで頼めるかを確かめるとよい。マドリードで食べる定番と、マドリード発祥の料理は分けて考えたい。</x:v>
      </x:c>
      <x:c r="G27" s="24" t="str">
        <x:v>Casa Enriqueta／El Escarpín／La Mallorquina</x:v>
      </x:c>
      <x:c r="H27" s="24" t="str">
        <x:v>通年扱い・営業日は別途確認</x:v>
      </x:c>
      <x:c r="I27" s="24" t="str"/>
      <x:c r="J27" s="24" t="n">
        <x:f>IF(I27="",0,LEN(I27)-LEN(SUBSTITUTE(I27,",",""))+1)</x:f>
        <x:v>0</x:v>
      </x:c>
      <x:c r="K27" s="24" t="str">
        <x:v>未確保</x:v>
      </x:c>
      <x:c r="L27" s="24" t="str">
        <x:v>S03, S09, S11, S40, S17</x:v>
      </x:c>
      <x:c r="M27" s="24" t="str">
        <x:v>https://gallinejasenriqueta.es/nuestra-carta-la-carta
https://elescarpinsidreria.com/
https://pastelerialamallorquina.es/salados/
https://www.esmadrid.com/gastronomia-madrid
https://www.esmadrid.com/recetas-madrid</x:v>
      </x:c>
      <x:c r="N27" s="24" t="str"/>
      <x:c r="O27" s="24" t="str">
        <x:v>焼き加減や玉ねぎ論争を店全体に一般化しない。</x:v>
      </x:c>
      <x:c r="P27" s="24" t="str">
        <x:v>前回の情報を継承。今回の全記述再確認ではない。</x:v>
      </x:c>
    </x:row>
    <x:row r="28" ht="92" customHeight="1">
      <x:c r="A28" s="22" t="str">
        <x:v>M024</x:v>
      </x:c>
      <x:c r="B28" s="22" t="str">
        <x:v>ガンバス・アル・アヒージョ</x:v>
      </x:c>
      <x:c r="C28" s="22" t="str">
        <x:v>Gambas al ajillo</x:v>
      </x:c>
      <x:c r="D28" s="22" t="str">
        <x:v>マドリードで定番・店の名物</x:v>
      </x:c>
      <x:c r="E28" s="22" t="n">
        <x:v>10</x:v>
      </x:c>
      <x:c r="F28" s="22" t="str">
        <x:v>エビをニンニクと油で調理するガンバス・アル・アヒージョ。La Casa del AbueloやCasa Albertoのような店を探す手がかりになる。料理そのものだけでなく、器やニンニクの使い方を見ると紹介が具体的になる。ただし、店が出すワインまでマドリード産とは限らない。地元産の飲み物も選びたい場合は、料理と別に産地表示を読もう。</x:v>
      </x:c>
      <x:c r="G28" s="22" t="str">
        <x:v>Casa del Abuelo／Casa Alberto</x:v>
      </x:c>
      <x:c r="H28" s="22" t="str">
        <x:v>通年扱い・営業日は別途確認</x:v>
      </x:c>
      <x:c r="I28" s="22" t="str">
        <x:v>P029</x:v>
      </x:c>
      <x:c r="J28" s="22" t="n">
        <x:f>IF(I28="",0,LEN(I28)-LEN(SUBSTITUTE(I28,",",""))+1)</x:f>
        <x:v>1</x:v>
      </x:c>
      <x:c r="K28" s="22" t="str">
        <x:v>候補あり</x:v>
      </x:c>
      <x:c r="L28" s="22" t="str">
        <x:v>S15, S06, S40</x:v>
      </x:c>
      <x:c r="M28" s="22" t="str">
        <x:v>https://www.lacasadelabuelo.es/
https://www.casaalberto.es/carta-restaurante-en?idIdioma=2
https://www.esmadrid.com/gastronomia-madrid</x:v>
      </x:c>
      <x:c r="N28" s="22" t="str"/>
      <x:c r="O28" s="22" t="str">
        <x:v>P029は低解像度かつ店名不明。主役用の新しい写真が望ましい。</x:v>
      </x:c>
      <x:c r="P28" s="22" t="str">
        <x:v>前回の情報を継承。今回の全記述再確認ではない。</x:v>
      </x:c>
    </x:row>
    <x:row r="29" ht="92" customHeight="1">
      <x:c r="A29" s="24" t="str">
        <x:v>M025</x:v>
      </x:c>
      <x:c r="B29" s="24" t="str">
        <x:v>マッシュルームのアヒージョ</x:v>
      </x:c>
      <x:c r="C29" s="24" t="str">
        <x:v>Champiñones al ajillo</x:v>
      </x:c>
      <x:c r="D29" s="24" t="str">
        <x:v>マドリードで定番・店の名物</x:v>
      </x:c>
      <x:c r="E29" s="24" t="n">
        <x:v>11</x:v>
      </x:c>
      <x:c r="F29" s="24" t="str">
        <x:v>マッシュルームをニンニク風味に仕上げる料理。肉や内臓料理が続く食事の間に、キノコの皿を置く選び方ができる。champiñonesの料理でも、鉄板焼きや詰め物入りなど仕上げはさまざま。メニューにal ajilloとあるかを見て、ハムなどの追加具材も確かめたい。キノコ料理だから必ず菜食向きとは限らない。</x:v>
      </x:c>
      <x:c r="G29" s="24" t="str">
        <x:v>現地写真の原典あり・現在の提供店を追加確認</x:v>
      </x:c>
      <x:c r="H29" s="24" t="str">
        <x:v>通年扱い・営業日は別途確認</x:v>
      </x:c>
      <x:c r="I29" s="24" t="str">
        <x:v>P009</x:v>
      </x:c>
      <x:c r="J29" s="24" t="n">
        <x:f>IF(I29="",0,LEN(I29)-LEN(SUBSTITUTE(I29,",",""))+1)</x:f>
        <x:v>1</x:v>
      </x:c>
      <x:c r="K29" s="24" t="str">
        <x:v>候補あり</x:v>
      </x:c>
      <x:c r="L29" s="24" t="str">
        <x:v>S01</x:v>
      </x:c>
      <x:c r="M29" s="24" t="str">
        <x:v>https://www.esmadrid.com/de/madrider-gastronomie</x:v>
      </x:c>
      <x:c r="N29" s="24" t="str"/>
      <x:c r="O29" s="24" t="str">
        <x:v>出典S01はタパス文化の背景のみ。個別料理の説明は写真原典を参照。</x:v>
      </x:c>
      <x:c r="P29" s="24" t="str">
        <x:v>前回の情報を継承。今回の全記述再確認ではない。</x:v>
      </x:c>
    </x:row>
    <x:row r="30" ht="92" customHeight="1">
      <x:c r="A30" s="22" t="str">
        <x:v>M026</x:v>
      </x:c>
      <x:c r="B30" s="22" t="str">
        <x:v>カタクチイワシの酢漬け（ボケロネス）</x:v>
      </x:c>
      <x:c r="C30" s="22" t="str">
        <x:v>Boquerones en vinagre</x:v>
      </x:c>
      <x:c r="D30" s="22" t="str">
        <x:v>マドリードで定番・店の名物</x:v>
      </x:c>
      <x:c r="E30" s="22" t="n">
        <x:v>12</x:v>
      </x:c>
      <x:c r="F30" s="22" t="str">
        <x:v>ボケロネス・エン・ビナグレは、カタクチイワシ類を酢でマリネした冷たい料理。塩漬けのアンチョビとは別物として選びたい。保存・加工した魚をつまみにする一例で、熱い揚げ物ばかりになったときの組合せ候補にもなる。市場の写真では白くなった身が容器に並ぶが、写真の色だけで酢の種類や熟成時間までは分からない。</x:v>
      </x:c>
      <x:c r="G30" s="22" t="str">
        <x:v>現地写真の原典あり・提供店を追加確認</x:v>
      </x:c>
      <x:c r="H30" s="22" t="str">
        <x:v>通年扱い・営業日は別途確認</x:v>
      </x:c>
      <x:c r="I30" s="22" t="str">
        <x:v>P008</x:v>
      </x:c>
      <x:c r="J30" s="22" t="n">
        <x:f>IF(I30="",0,LEN(I30)-LEN(SUBSTITUTE(I30,",",""))+1)</x:f>
        <x:v>1</x:v>
      </x:c>
      <x:c r="K30" s="22" t="str">
        <x:v>候補あり</x:v>
      </x:c>
      <x:c r="L30" s="22" t="str">
        <x:v>S01</x:v>
      </x:c>
      <x:c r="M30" s="22" t="str">
        <x:v>https://www.esmadrid.com/de/madrider-gastronomie</x:v>
      </x:c>
      <x:c r="N30" s="22" t="str">
        <x:v>日本語名をカタクチイワシの酢漬けへ修正。P008を原典・画像で再確認し、新規写真には数えない。</x:v>
      </x:c>
      <x:c r="O30" s="22" t="str">
        <x:v>写真原典は料理名を明記。魚種の学名と食品安全説明は別資料で確認。</x:v>
      </x:c>
      <x:c r="P30" s="22" t="str">
        <x:v>今回の更新点を確認。その他の継承事項は出典の確認範囲を参照。</x:v>
      </x:c>
    </x:row>
    <x:row r="31" ht="92" customHeight="1">
      <x:c r="A31" s="24" t="str">
        <x:v>M027</x:v>
      </x:c>
      <x:c r="B31" s="24" t="str">
        <x:v>スモークサーモン</x:v>
      </x:c>
      <x:c r="C31" s="24" t="str">
        <x:v>Salmón ahumado</x:v>
      </x:c>
      <x:c r="D31" s="24" t="str">
        <x:v>全国・他地方由来／首都で食べる一品</x:v>
      </x:c>
      <x:c r="E31" s="24"/>
      <x:c r="F31" s="24" t="str">
        <x:v>燻製サーモンは、Lhardyのメニューや市場の販売情報から探せる冷菜。マドリード固有の料理ではないが、各地の保存・加工魚が首都に集まる食の一面を見せてくれる。市内で売られていることと、市内で魚が育ち燻製されたことは別なので、産地や製造地は商品の表示を確認したい。</x:v>
      </x:c>
      <x:c r="G31" s="24" t="str">
        <x:v>Lhardy／San Miguel市場のAhumados Domínguez</x:v>
      </x:c>
      <x:c r="H31" s="24" t="str">
        <x:v>通年扱い・営業日は別途確認</x:v>
      </x:c>
      <x:c r="I31" s="24" t="str"/>
      <x:c r="J31" s="24" t="n">
        <x:f>IF(I31="",0,LEN(I31)-LEN(SUBSTITUTE(I31,",",""))+1)</x:f>
        <x:v>0</x:v>
      </x:c>
      <x:c r="K31" s="24" t="str">
        <x:v>未確保</x:v>
      </x:c>
      <x:c r="L31" s="24" t="str">
        <x:v>S04, S13</x:v>
      </x:c>
      <x:c r="M31" s="24" t="str">
        <x:v>https://lhardy.com/carta/
https://mercadodesanmiguel.es/puestos/</x:v>
      </x:c>
      <x:c r="N31" s="24" t="str"/>
      <x:c r="O31" s="24" t="str">
        <x:v>Madridでの販売は確認できるがMadrid産サーモンとは書かない。</x:v>
      </x:c>
      <x:c r="P31" s="24" t="str">
        <x:v>前回の情報を継承。今回の全記述再確認ではない。</x:v>
      </x:c>
    </x:row>
    <x:row r="32" ht="92" customHeight="1">
      <x:c r="A32" s="22" t="str">
        <x:v>M028</x:v>
      </x:c>
      <x:c r="B32" s="22" t="str">
        <x:v>バンデリージャ（漬物の串）</x:v>
      </x:c>
      <x:c r="C32" s="22" t="str">
        <x:v>Banderillas de encurtidos</x:v>
      </x:c>
      <x:c r="D32" s="22" t="str">
        <x:v>マドリードで定番・店の名物</x:v>
      </x:c>
      <x:c r="E32" s="22" t="n">
        <x:v>13</x:v>
      </x:c>
      <x:c r="F32" s="22" t="str">
        <x:v>バンデリージャは、オリーブなどの漬物を串に組み合わせた一口のつまみ。サン・ミゲル市場の販売店情報などから探せる。大皿を何品も頼む前に、小さなつまみを選びたいときの候補になる。串に入るものは一定ではなく、魚を組み合わせる場合もあるので具材を見て選ぼう。小さくても別注文の有料商品である可能性を忘れないこと。</x:v>
      </x:c>
      <x:c r="G32" s="22" t="str">
        <x:v>現地売り場写真／San Miguel市場の漬物・ベルモット店</x:v>
      </x:c>
      <x:c r="H32" s="22" t="str">
        <x:v>通年扱い・営業日は別途確認</x:v>
      </x:c>
      <x:c r="I32" s="22" t="str">
        <x:v>P006</x:v>
      </x:c>
      <x:c r="J32" s="22" t="n">
        <x:f>IF(I32="",0,LEN(I32)-LEN(SUBSTITUTE(I32,",",""))+1)</x:f>
        <x:v>1</x:v>
      </x:c>
      <x:c r="K32" s="22" t="str">
        <x:v>候補あり</x:v>
      </x:c>
      <x:c r="L32" s="22" t="str">
        <x:v>S13, S25</x:v>
      </x:c>
      <x:c r="M32" s="22" t="str">
        <x:v>https://mercadodesanmiguel.es/puestos/
https://www.losgalayos.net/nuestro-menu</x:v>
      </x:c>
      <x:c r="N32" s="22" t="str"/>
      <x:c r="O32" s="22" t="str">
        <x:v>オリーブ・アンチョビ・青唐辛子のヒルダと全て同一視しない。</x:v>
      </x:c>
      <x:c r="P32" s="22" t="str">
        <x:v>前回の情報を継承。今回の全記述再確認ではない。</x:v>
      </x:c>
    </x:row>
    <x:row r="33" ht="92" customHeight="1">
      <x:c r="A33" s="24" t="str">
        <x:v>M029</x:v>
      </x:c>
      <x:c r="B33" s="24" t="str">
        <x:v>カサ・ミンゴのローストチキン</x:v>
      </x:c>
      <x:c r="C33" s="24" t="str">
        <x:v>Pollo asado de Casa Mingo</x:v>
      </x:c>
      <x:c r="D33" s="24" t="str">
        <x:v>マドリードで定番・店の名物</x:v>
      </x:c>
      <x:c r="E33" s="24" t="n">
        <x:v>25</x:v>
      </x:c>
      <x:c r="F33" s="24" t="str">
        <x:v>Casa Mingoが名物として掲げるローストチキン。公式サイトではシドラも店の中心に置かれており、鶏と飲み物を一緒に考えられる。観光とつなげるなら、近くのサン・アントニオ・デ・ラ・フロリダ礼拝堂が組合せの候補になる。礼拝堂の見学と店での食事は別の予定なので、それぞれの開館・営業を確認しておこう。</x:v>
      </x:c>
      <x:c r="G33" s="24" t="str">
        <x:v>Casa Mingo</x:v>
      </x:c>
      <x:c r="H33" s="24" t="str">
        <x:v>通年扱い・営業日は別途確認</x:v>
      </x:c>
      <x:c r="I33" s="24" t="str"/>
      <x:c r="J33" s="24" t="n">
        <x:f>IF(I33="",0,LEN(I33)-LEN(SUBSTITUTE(I33,",",""))+1)</x:f>
        <x:v>0</x:v>
      </x:c>
      <x:c r="K33" s="24" t="str">
        <x:v>未確保</x:v>
      </x:c>
      <x:c r="L33" s="24" t="str">
        <x:v>S08, S53</x:v>
      </x:c>
      <x:c r="M33" s="24" t="str">
        <x:v>https://www.casamingo.es/
https://www.madrid.es/portales/munimadrid/es/ErmitaDeSanAntonioDeLaFlorida/Ermita-de-San-Antonio-de-la-Florida/?vgnextchannel=33df541adec0b410VgnVCM1000000b205a0aRCRD&amp;vgnextfmt=default&amp;vgnextoid=797368822e3ab010VgnVCM100000d90ca8c0RCRD</x:v>
      </x:c>
      <x:c r="N33" s="24" t="str"/>
      <x:c r="O33" s="24" t="str">
        <x:v>メニュー詳細ページは取得できなかったため価格は未採録。</x:v>
      </x:c>
      <x:c r="P33" s="24" t="str">
        <x:v>前回の情報を継承。今回の全記述再確認ではない。</x:v>
      </x:c>
    </x:row>
    <x:row r="34" ht="92" customHeight="1">
      <x:c r="A34" s="22" t="str">
        <x:v>M030</x:v>
      </x:c>
      <x:c r="B34" s="22" t="str">
        <x:v>小ナスの酢漬け</x:v>
      </x:c>
      <x:c r="C34" s="22" t="str">
        <x:v>Berenjenas en vinagre</x:v>
      </x:c>
      <x:c r="D34" s="22" t="str">
        <x:v>全国・他地方由来／首都で食べる一品</x:v>
      </x:c>
      <x:c r="E34" s="22"/>
      <x:c r="F34" s="22" t="str">
        <x:v>小さなナスを丸ごと使った酢漬けは、オリーブ以外の漬物を探したいときの候補。小さな形を残した姿が分かりやすく、オリーブや串の漬物とは別の食材を選べる。マドリードで販売されることを、そのままマドリード原産の証拠にはしないようにしたい。</x:v>
      </x:c>
      <x:c r="G34" s="22" t="str">
        <x:v>Lavapiésの売り場写真・現行店は要確認</x:v>
      </x:c>
      <x:c r="H34" s="22" t="str">
        <x:v>通年扱い・営業日は別途確認</x:v>
      </x:c>
      <x:c r="I34" s="22" t="str">
        <x:v>P023</x:v>
      </x:c>
      <x:c r="J34" s="22" t="n">
        <x:f>IF(I34="",0,LEN(I34)-LEN(SUBSTITUTE(I34,",",""))+1)</x:f>
        <x:v>1</x:v>
      </x:c>
      <x:c r="K34" s="22" t="str">
        <x:v>候補あり</x:v>
      </x:c>
      <x:c r="L34" s="22" t="str">
        <x:v>S13</x:v>
      </x:c>
      <x:c r="M34" s="22" t="str">
        <x:v>https://mercadodesanmiguel.es/puestos/</x:v>
      </x:c>
      <x:c r="N34" s="22" t="str"/>
      <x:c r="O34" s="22" t="str">
        <x:v>Berenjena de Almagroの産地認証品だとは未確認。写真だけで認証を付けない。</x:v>
      </x:c>
      <x:c r="P34" s="22" t="str">
        <x:v>前回の情報を継承。今回の全記述再確認ではない。</x:v>
      </x:c>
    </x:row>
    <x:row r="35" ht="92" customHeight="1">
      <x:c r="A35" s="24" t="str">
        <x:v>M031</x:v>
      </x:c>
      <x:c r="B35" s="24" t="str">
        <x:v>エンサラディージャ・ルサ</x:v>
      </x:c>
      <x:c r="C35" s="24" t="str">
        <x:v>Ensaladilla rusa</x:v>
      </x:c>
      <x:c r="D35" s="24" t="str">
        <x:v>全国・他地方由来／首都で食べる一品</x:v>
      </x:c>
      <x:c r="E35" s="24"/>
      <x:c r="F35" s="24" t="str">
        <x:v>エンサラディージャ・ルサは、ジャガイモなどを使うマヨネーズ系の冷菜。Lhardy、Casa Alberto、Casa Ciriacoのような店のメニューにも見つかる。使う魚や野菜などの具は店で違い、同じ名前でも一律のレシピではない。冷菜を一つ挟みたいときに、盛りの大きさを見て選びたい。</x:v>
      </x:c>
      <x:c r="G35" s="24" t="str">
        <x:v>Casa Alberto／Casa Ciriaco／Lhardy</x:v>
      </x:c>
      <x:c r="H35" s="24" t="str">
        <x:v>通年扱い・営業日は別途確認</x:v>
      </x:c>
      <x:c r="I35" s="24" t="str"/>
      <x:c r="J35" s="24" t="n">
        <x:f>IF(I35="",0,LEN(I35)-LEN(SUBSTITUTE(I35,",",""))+1)</x:f>
        <x:v>0</x:v>
      </x:c>
      <x:c r="K35" s="24" t="str">
        <x:v>未確保</x:v>
      </x:c>
      <x:c r="L35" s="24" t="str">
        <x:v>S06, S07, S04</x:v>
      </x:c>
      <x:c r="M35" s="24" t="str">
        <x:v>https://www.casaalberto.es/carta-restaurante-en?idIdioma=2
https://www.casaciriaco.es/carta-restaurante
https://lhardy.com/carta/</x:v>
      </x:c>
      <x:c r="N35" s="24" t="str"/>
      <x:c r="O35" s="24" t="str">
        <x:v>Lhardyの小エビ入りと一般的なツナ入りを混同しない。</x:v>
      </x:c>
      <x:c r="P35" s="24" t="str">
        <x:v>前回の情報を継承。今回の全記述再確認ではない。</x:v>
      </x:c>
    </x:row>
    <x:row r="36" ht="92" customHeight="1">
      <x:c r="A36" s="22" t="str">
        <x:v>M032</x:v>
      </x:c>
      <x:c r="B36" s="22" t="str">
        <x:v>トレスノス</x:v>
      </x:c>
      <x:c r="C36" s="22" t="str">
        <x:v>Torreznos</x:v>
      </x:c>
      <x:c r="D36" s="22" t="str">
        <x:v>全国・他地方由来／首都で食べる一品</x:v>
      </x:c>
      <x:c r="E36" s="22"/>
      <x:c r="F36" s="22" t="str">
        <x:v>トレスノスは、豚肉の皮や脂の層が特徴になる揚げ物。Casa Ciriacoのメニューにもあり、他地域の料理がマドリードの店で食べられる例になる。生ハムとも煮込んだ豚肉とも違う、皮の層を残した料理として見てみよう。ソリアなどの地名が付く場合は、その表記を残したい。</x:v>
      </x:c>
      <x:c r="G36" s="22" t="str">
        <x:v>Casa Ciriaco（Torreznos de Soria）</x:v>
      </x:c>
      <x:c r="H36" s="22" t="str">
        <x:v>通年扱い・営業日は別途確認</x:v>
      </x:c>
      <x:c r="I36" s="22" t="str"/>
      <x:c r="J36" s="22" t="n">
        <x:f>IF(I36="",0,LEN(I36)-LEN(SUBSTITUTE(I36,",",""))+1)</x:f>
        <x:v>0</x:v>
      </x:c>
      <x:c r="K36" s="22" t="str">
        <x:v>未確保</x:v>
      </x:c>
      <x:c r="L36" s="22" t="str">
        <x:v>S07</x:v>
      </x:c>
      <x:c r="M36" s="22" t="str">
        <x:v>https://www.casaciriaco.es/carta-restaurante</x:v>
      </x:c>
      <x:c r="N36" s="22" t="str"/>
      <x:c r="O36" s="22" t="str">
        <x:v>Madrid発祥と表記しない。認証の有無・具体的製法は追加確認。</x:v>
      </x:c>
      <x:c r="P36" s="22" t="str">
        <x:v>前回の情報を継承。今回の全記述再確認ではない。</x:v>
      </x:c>
    </x:row>
    <x:row r="37" ht="92" customHeight="1">
      <x:c r="A37" s="24" t="str">
        <x:v>M033</x:v>
      </x:c>
      <x:c r="B37" s="24" t="str">
        <x:v>モルシージャ</x:v>
      </x:c>
      <x:c r="C37" s="24" t="str">
        <x:v>Morcilla</x:v>
      </x:c>
      <x:c r="D37" s="24" t="str">
        <x:v>全国・他地方由来／首都で食べる一品</x:v>
      </x:c>
      <x:c r="E37" s="24"/>
      <x:c r="F37" s="24" t="str">
        <x:v>モルシージャは血を使うソーセージ。煮込みの具として入るだけでなく、単独の一皿としても選べる。穀物などの副材料や産地によって種類が違うため、「黒いチョリソー」と同じ扱いにしないこと。コシードで出会ったものを、別の調理法でも試す候補になる。</x:v>
      </x:c>
      <x:c r="G37" s="24" t="str">
        <x:v>Casa Enriqueta</x:v>
      </x:c>
      <x:c r="H37" s="24" t="str">
        <x:v>通年扱い・営業日は別途確認</x:v>
      </x:c>
      <x:c r="I37" s="24" t="str"/>
      <x:c r="J37" s="24" t="n">
        <x:f>IF(I37="",0,LEN(I37)-LEN(SUBSTITUTE(I37,",",""))+1)</x:f>
        <x:v>0</x:v>
      </x:c>
      <x:c r="K37" s="24" t="str">
        <x:v>未確保</x:v>
      </x:c>
      <x:c r="L37" s="24" t="str">
        <x:v>S03</x:v>
      </x:c>
      <x:c r="M37" s="24" t="str">
        <x:v>https://gallinejasenriqueta.es/nuestra-carta-la-carta</x:v>
      </x:c>
      <x:c r="N37" s="24" t="str"/>
      <x:c r="O37" s="24" t="str">
        <x:v>米入りなどの配合や地域型は店の仕入れを確認。</x:v>
      </x:c>
      <x:c r="P37" s="24" t="str">
        <x:v>前回の情報を継承。今回の全記述再確認ではない。</x:v>
      </x:c>
    </x:row>
    <x:row r="38" ht="92" customHeight="1">
      <x:c r="A38" s="22" t="str">
        <x:v>M034</x:v>
      </x:c>
      <x:c r="B38" s="22" t="str">
        <x:v>チストーラ</x:v>
      </x:c>
      <x:c r="C38" s="22" t="str">
        <x:v>Chistorra</x:v>
      </x:c>
      <x:c r="D38" s="22" t="str">
        <x:v>全国・他地方由来／首都で食べる一品</x:v>
      </x:c>
      <x:c r="E38" s="22"/>
      <x:c r="F38" s="22" t="str">
        <x:v>チストーラは細身のソーセージを使う料理。Casa Enriquetaのメニューでも探せる。チョリソー、モルシージャと同じ加工肉の仲間として並べながら、太さや材料の違いを見て選びたい。マドリードにある店の品でも、料理名だけで州内製造品とは判断しない。</x:v>
      </x:c>
      <x:c r="G38" s="22" t="str">
        <x:v>Casa Enriqueta</x:v>
      </x:c>
      <x:c r="H38" s="22" t="str">
        <x:v>通年扱い・営業日は別途確認</x:v>
      </x:c>
      <x:c r="I38" s="22" t="str"/>
      <x:c r="J38" s="22" t="n">
        <x:f>IF(I38="",0,LEN(I38)-LEN(SUBSTITUTE(I38,",",""))+1)</x:f>
        <x:v>0</x:v>
      </x:c>
      <x:c r="K38" s="22" t="str">
        <x:v>未確保</x:v>
      </x:c>
      <x:c r="L38" s="22" t="str">
        <x:v>S03</x:v>
      </x:c>
      <x:c r="M38" s="22" t="str">
        <x:v>https://gallinejasenriqueta.es/nuestra-carta-la-carta</x:v>
      </x:c>
      <x:c r="N38" s="22" t="str"/>
      <x:c r="O38" s="22" t="str">
        <x:v>産地や肉の配合は別途確認。</x:v>
      </x:c>
      <x:c r="P38" s="22" t="str">
        <x:v>前回の情報を継承。今回の全記述再確認ではない。</x:v>
      </x:c>
    </x:row>
    <x:row r="39" ht="92" customHeight="1">
      <x:c r="A39" s="24" t="str">
        <x:v>M035</x:v>
      </x:c>
      <x:c r="B39" s="24" t="str">
        <x:v>ハモン・イベリコ</x:v>
      </x:c>
      <x:c r="C39" s="24" t="str">
        <x:v>Jamón ibérico</x:v>
      </x:c>
      <x:c r="D39" s="24" t="str">
        <x:v>全国・他地方由来／首都で食べる一品</x:v>
      </x:c>
      <x:c r="E39" s="24"/>
      <x:c r="F39" s="24" t="str">
        <x:v>ハモン・イベリコはイベリコ豚の生ハム。マドリード固有の発明ではないが、老舗や市場でスペインの熟成肉を選ぶ入口になる。産地、豚の区分、商品名はラベルやメニューに従って読みたい。値段だけで一律の品質を判断せず、量や銘柄をそろえて見るのが比較の基本だ。</x:v>
      </x:c>
      <x:c r="G39" s="24" t="str">
        <x:v>Casa Alberto／Lhardy／San Miguel市場</x:v>
      </x:c>
      <x:c r="H39" s="24" t="str">
        <x:v>通年扱い・営業日は別途確認</x:v>
      </x:c>
      <x:c r="I39" s="24" t="str"/>
      <x:c r="J39" s="24" t="n">
        <x:f>IF(I39="",0,LEN(I39)-LEN(SUBSTITUTE(I39,",",""))+1)</x:f>
        <x:v>0</x:v>
      </x:c>
      <x:c r="K39" s="24" t="str">
        <x:v>未確保</x:v>
      </x:c>
      <x:c r="L39" s="24" t="str">
        <x:v>S06, S04, S13</x:v>
      </x:c>
      <x:c r="M39" s="24" t="str">
        <x:v>https://www.casaalberto.es/carta-restaurante-en?idIdioma=2
https://lhardy.com/carta/
https://mercadodesanmiguel.es/puestos/</x:v>
      </x:c>
      <x:c r="N39" s="24" t="str"/>
      <x:c r="O39" s="24" t="str">
        <x:v>bellota、血統、原産地の表示を商品単位で確認。Madridで切ることとMadrid産は別。</x:v>
      </x:c>
      <x:c r="P39" s="24" t="str">
        <x:v>前回の情報を継承。今回の全記述再確認ではない。</x:v>
      </x:c>
    </x:row>
    <x:row r="40" ht="92" customHeight="1">
      <x:c r="A40" s="22" t="str">
        <x:v>M036</x:v>
      </x:c>
      <x:c r="B40" s="22" t="str">
        <x:v>セシーナ</x:v>
      </x:c>
      <x:c r="C40" s="22" t="str">
        <x:v>Cecina</x:v>
      </x:c>
      <x:c r="D40" s="22" t="str">
        <x:v>全国・他地方由来／首都で食べる一品</x:v>
      </x:c>
      <x:c r="E40" s="22"/>
      <x:c r="F40" s="22" t="str">
        <x:v>セシーナは乾燥・熟成させた肉の冷菜。El Escarpínのような店を手がかりに、豚の生ハムとは別の保存肉を探せる。メニューによって肉の種類や産地が示されるため、その名称を残して選びたい。「スペインの薄切り肉は全部ハモン」と考えないための一品になる。</x:v>
      </x:c>
      <x:c r="G40" s="22" t="str">
        <x:v>El Escarpín</x:v>
      </x:c>
      <x:c r="H40" s="22" t="str">
        <x:v>通年扱い・営業日は別途確認</x:v>
      </x:c>
      <x:c r="I40" s="22" t="str"/>
      <x:c r="J40" s="22" t="n">
        <x:f>IF(I40="",0,LEN(I40)-LEN(SUBSTITUTE(I40,",",""))+1)</x:f>
        <x:v>0</x:v>
      </x:c>
      <x:c r="K40" s="22" t="str">
        <x:v>未確保</x:v>
      </x:c>
      <x:c r="L40" s="22" t="str">
        <x:v>S09</x:v>
      </x:c>
      <x:c r="M40" s="22" t="str">
        <x:v>https://elescarpinsidreria.com/</x:v>
      </x:c>
      <x:c r="N40" s="22" t="str"/>
      <x:c r="O40" s="22" t="str">
        <x:v>同店はヤギチーズ添えとWagyu表記の別商品を掲載。IGP Cecina de Leónと勝手に同定しない。</x:v>
      </x:c>
      <x:c r="P40" s="22" t="str">
        <x:v>前回の情報を継承。今回の全記述再確認ではない。</x:v>
      </x:c>
    </x:row>
    <x:row r="41" ht="92" customHeight="1">
      <x:c r="A41" s="24" t="str">
        <x:v>M037</x:v>
      </x:c>
      <x:c r="B41" s="24" t="str">
        <x:v>チョリソーのシドラ煮</x:v>
      </x:c>
      <x:c r="C41" s="24" t="str">
        <x:v>Chorizos a la sidra</x:v>
      </x:c>
      <x:c r="D41" s="24" t="str">
        <x:v>全国・他地方由来／首都で食べる一品</x:v>
      </x:c>
      <x:c r="E41" s="24"/>
      <x:c r="F41" s="24" t="str">
        <x:v>チョリソーをシドラで調理する料理。El Escarpínのメニューにあり、アストゥリアス系の食文化をマドリードで楽しむ候補になる。シドラは飲み物としてだけでなく調理液にもなる。赤いソーセージの煮込み写真だけでは、シドラで煮たものかは判定できないので料理名を確認しよう。</x:v>
      </x:c>
      <x:c r="G41" s="24" t="str">
        <x:v>El Escarpín</x:v>
      </x:c>
      <x:c r="H41" s="24" t="str">
        <x:v>通年扱い・営業日は別途確認</x:v>
      </x:c>
      <x:c r="I41" s="24" t="str"/>
      <x:c r="J41" s="24" t="n">
        <x:f>IF(I41="",0,LEN(I41)-LEN(SUBSTITUTE(I41,",",""))+1)</x:f>
        <x:v>0</x:v>
      </x:c>
      <x:c r="K41" s="24" t="str">
        <x:v>未確保</x:v>
      </x:c>
      <x:c r="L41" s="24" t="str">
        <x:v>S09</x:v>
      </x:c>
      <x:c r="M41" s="24" t="str">
        <x:v>https://elescarpinsidreria.com/</x:v>
      </x:c>
      <x:c r="N41" s="24" t="str"/>
      <x:c r="O41" s="24" t="str">
        <x:v>P025はチョリソーの土鍋料理だがシドラ使用は不明。完成料理の同定写真にはしない。</x:v>
      </x:c>
      <x:c r="P41" s="24" t="str">
        <x:v>前回の情報を継承。今回の全記述再確認ではない。</x:v>
      </x:c>
    </x:row>
    <x:row r="42" ht="92" customHeight="1">
      <x:c r="A42" s="22" t="str">
        <x:v>M038</x:v>
      </x:c>
      <x:c r="B42" s="22" t="str">
        <x:v>ピキーリョの詰め物</x:v>
      </x:c>
      <x:c r="C42" s="22" t="str">
        <x:v>Pimientos del piquillo rellenos</x:v>
      </x:c>
      <x:c r="D42" s="22" t="str">
        <x:v>全国・他地方由来／首都で食べる一品</x:v>
      </x:c>
      <x:c r="E42" s="22"/>
      <x:c r="F42" s="22" t="str">
        <x:v>赤いピキーリョに具を詰めた料理。Casa Albertoではタラとエビを詰める版が掲載されている。見た目だけでは中の具材が分からないため、名前の後に続くrellenos de…の部分まで読むと選びやすい。野菜を使う料理でも魚介が入る、という好例でもある。</x:v>
      </x:c>
      <x:c r="G42" s="22" t="str">
        <x:v>Casa Alberto</x:v>
      </x:c>
      <x:c r="H42" s="22" t="str">
        <x:v>通年扱い・営業日は別途確認</x:v>
      </x:c>
      <x:c r="I42" s="22" t="str"/>
      <x:c r="J42" s="22" t="n">
        <x:f>IF(I42="",0,LEN(I42)-LEN(SUBSTITUTE(I42,",",""))+1)</x:f>
        <x:v>0</x:v>
      </x:c>
      <x:c r="K42" s="22" t="str">
        <x:v>未確保</x:v>
      </x:c>
      <x:c r="L42" s="22" t="str">
        <x:v>S06</x:v>
      </x:c>
      <x:c r="M42" s="22" t="str">
        <x:v>https://www.casaalberto.es/carta-restaurante-en?idIdioma=2</x:v>
      </x:c>
      <x:c r="N42" s="22" t="str"/>
      <x:c r="O42" s="22" t="str">
        <x:v>具材は店ごとに異なる。</x:v>
      </x:c>
      <x:c r="P42" s="22" t="str">
        <x:v>前回の情報を継承。今回の全記述再確認ではない。</x:v>
      </x:c>
    </x:row>
    <x:row r="43" ht="92" customHeight="1">
      <x:c r="A43" s="24" t="str">
        <x:v>M039</x:v>
      </x:c>
      <x:c r="B43" s="24" t="str">
        <x:v>カツオ類入りエンパナディージャ</x:v>
      </x:c>
      <x:c r="C43" s="24" t="str">
        <x:v>Empanadillas de bonito</x:v>
      </x:c>
      <x:c r="D43" s="24" t="str">
        <x:v>全国・他地方由来／首都で食べる一品</x:v>
      </x:c>
      <x:c r="E43" s="24"/>
      <x:c r="F43" s="24" t="str">
        <x:v>ボニートなどの魚を詰める小さなエンパナディージャ。Casa Ciriacoのメニューが探す手がかりになる。大きなパイを切り分けるエンパナーダとは、売られ方や大きさが異なる場合がある。菓子のように見える包みでも甘いとは限らないので、具材名を見て選びたい。</x:v>
      </x:c>
      <x:c r="G43" s="24" t="str">
        <x:v>Casa Ciriaco</x:v>
      </x:c>
      <x:c r="H43" s="24" t="str">
        <x:v>通年扱い・営業日は別途確認</x:v>
      </x:c>
      <x:c r="I43" s="24" t="str"/>
      <x:c r="J43" s="24" t="n">
        <x:f>IF(I43="",0,LEN(I43)-LEN(SUBSTITUTE(I43,",",""))+1)</x:f>
        <x:v>0</x:v>
      </x:c>
      <x:c r="K43" s="24" t="str">
        <x:v>未確保</x:v>
      </x:c>
      <x:c r="L43" s="24" t="str">
        <x:v>S07</x:v>
      </x:c>
      <x:c r="M43" s="24" t="str">
        <x:v>https://www.casaciriaco.es/carta-restaurante</x:v>
      </x:c>
      <x:c r="N43" s="24" t="str"/>
      <x:c r="O43" s="24" t="str">
        <x:v>bonitoを日本のカツオ一種に限定しない。調理法と魚種は店に合わせる。</x:v>
      </x:c>
      <x:c r="P43" s="24" t="str">
        <x:v>前回の情報を継承。今回の全記述再確認ではない。</x:v>
      </x:c>
    </x:row>
    <x:row r="44" ht="92" customHeight="1">
      <x:c r="A44" s="22" t="str">
        <x:v>M040</x:v>
      </x:c>
      <x:c r="B44" s="22" t="str">
        <x:v>アグハ・デ・テルネラ</x:v>
      </x:c>
      <x:c r="C44" s="22" t="str">
        <x:v>Aguja de ternera</x:v>
      </x:c>
      <x:c r="D44" s="22" t="str">
        <x:v>マドリードで定番・店の名物</x:v>
      </x:c>
      <x:c r="E44" s="22"/>
      <x:c r="F44" s="22" t="str">
        <x:v>アグハ・デ・テルネラは、牛肉を詰めた細長いパイ。La Mallorquinaの塩味商品の一覧にも載る。菓子店へ入って甘いものだけを選ばず、軽食用の売り場にも目を向けると見つかる一品だ。クリーム入りの菓子パンと見た目が似ていても、こちらは肉を詰めた料理として選びたい。</x:v>
      </x:c>
      <x:c r="G44" s="22" t="str">
        <x:v>La Mallorquinaの2009年写真あり</x:v>
      </x:c>
      <x:c r="H44" s="22" t="str">
        <x:v>通年扱い・営業日は別途確認</x:v>
      </x:c>
      <x:c r="I44" s="22" t="str">
        <x:v>P004</x:v>
      </x:c>
      <x:c r="J44" s="22" t="n">
        <x:f>IF(I44="",0,LEN(I44)-LEN(SUBSTITUTE(I44,",",""))+1)</x:f>
        <x:v>1</x:v>
      </x:c>
      <x:c r="K44" s="22" t="str">
        <x:v>候補あり</x:v>
      </x:c>
      <x:c r="L44" s="22" t="str">
        <x:v>S11</x:v>
      </x:c>
      <x:c r="M44" s="22" t="str">
        <x:v>https://pastelerialamallorquina.es/salados/</x:v>
      </x:c>
      <x:c r="N44" s="22" t="str"/>
      <x:c r="O44" s="22" t="str">
        <x:v>今回の通販一覧では名称を確認できていない。現在も買えると断定しない。</x:v>
      </x:c>
      <x:c r="P44" s="22" t="str">
        <x:v>前回の情報を継承。今回の全記述再確認ではない。</x:v>
      </x:c>
    </x:row>
    <x:row r="45" ht="92" customHeight="1">
      <x:c r="A45" s="24" t="str">
        <x:v>M041</x:v>
      </x:c>
      <x:c r="B45" s="24" t="str">
        <x:v>仔豚のロースト</x:v>
      </x:c>
      <x:c r="C45" s="24" t="str">
        <x:v>Cochinillo asado</x:v>
      </x:c>
      <x:c r="D45" s="24" t="str">
        <x:v>全国・他地方由来／首都で食べる一品</x:v>
      </x:c>
      <x:c r="E45" s="24"/>
      <x:c r="F45" s="24" t="str">
        <x:v>仔豚のローストは、マドリードと周辺のカスティーリャの食をつなぐ料理。Los Galayosは低温調理の仔豚を名物として掲載している。すべての店が同じ炉や焼き方を使うわけではないので、個別店の調理法をそのまま伝えたい。大皿の場合は人数と注文単位を確認しよう。</x:v>
      </x:c>
      <x:c r="G45" s="24" t="str">
        <x:v>Los Galayos</x:v>
      </x:c>
      <x:c r="H45" s="24" t="str">
        <x:v>通年扱い・営業日は別途確認</x:v>
      </x:c>
      <x:c r="I45" s="24" t="str"/>
      <x:c r="J45" s="24" t="n">
        <x:f>IF(I45="",0,LEN(I45)-LEN(SUBSTITUTE(I45,",",""))+1)</x:f>
        <x:v>0</x:v>
      </x:c>
      <x:c r="K45" s="24" t="str">
        <x:v>未確保</x:v>
      </x:c>
      <x:c r="L45" s="24" t="str">
        <x:v>S33</x:v>
      </x:c>
      <x:c r="M45" s="24" t="str">
        <x:v>https://www.losgalayos.net/documentos/carta_es-en.pdf</x:v>
      </x:c>
      <x:c r="N45" s="24" t="str"/>
      <x:c r="O45" s="24" t="str">
        <x:v>P015は画像の目視未了。特定店で撮影したものではない。</x:v>
      </x:c>
      <x:c r="P45" s="24" t="str">
        <x:v>前回の情報を継承。今回の全記述再確認ではない。</x:v>
      </x:c>
    </x:row>
    <x:row r="46" ht="92" customHeight="1">
      <x:c r="A46" s="22" t="str">
        <x:v>M042</x:v>
      </x:c>
      <x:c r="B46" s="22" t="str">
        <x:v>仔羊の肩肉ロースト</x:v>
      </x:c>
      <x:c r="C46" s="22" t="str">
        <x:v>Paletilla de cordero lechal asada</x:v>
      </x:c>
      <x:c r="D46" s="22" t="str">
        <x:v>全国・他地方由来／首都で食べる一品</x:v>
      </x:c>
      <x:c r="E46" s="22"/>
      <x:c r="F46" s="22" t="str">
        <x:v>乳飲み仔羊の肩肉を焼く料理。Los Galayosのメニューにもあり、仔豚と並べて肉の種類を選べる。「肉のロースト」とまとめるより、羊であること、肩の部位であることまで読むと皿が想像しやすい。マドリード発祥というより、首都で出会うカスティーリャ系の料理として扱いたい。</x:v>
      </x:c>
      <x:c r="G46" s="22" t="str">
        <x:v>Los Galayos</x:v>
      </x:c>
      <x:c r="H46" s="22" t="str">
        <x:v>通年扱い・営業日は別途確認</x:v>
      </x:c>
      <x:c r="I46" s="22" t="str"/>
      <x:c r="J46" s="22" t="n">
        <x:f>IF(I46="",0,LEN(I46)-LEN(SUBSTITUTE(I46,",",""))+1)</x:f>
        <x:v>0</x:v>
      </x:c>
      <x:c r="K46" s="22" t="str">
        <x:v>未確保</x:v>
      </x:c>
      <x:c r="L46" s="22" t="str">
        <x:v>S33</x:v>
      </x:c>
      <x:c r="M46" s="22" t="str">
        <x:v>https://www.losgalayos.net/documentos/carta_es-en.pdf</x:v>
      </x:c>
      <x:c r="N46" s="22" t="str"/>
      <x:c r="O46" s="22" t="str">
        <x:v>産地・炉の種類は別途確認。</x:v>
      </x:c>
      <x:c r="P46" s="22" t="str">
        <x:v>前回の情報を継承。今回の全記述再確認ではない。</x:v>
      </x:c>
    </x:row>
    <x:row r="47" ht="92" customHeight="1">
      <x:c r="A47" s="24" t="str">
        <x:v>M043</x:v>
      </x:c>
      <x:c r="B47" s="24" t="str">
        <x:v>プルポ・ア・フェイラ</x:v>
      </x:c>
      <x:c r="C47" s="24" t="str">
        <x:v>Pulpo a feira</x:v>
      </x:c>
      <x:c r="D47" s="24" t="str">
        <x:v>全国・他地方由来／首都で食べる一品</x:v>
      </x:c>
      <x:c r="E47" s="24"/>
      <x:c r="F47" s="24" t="str">
        <x:v>タコを使うガリシア系のプルポ・ア・フェイラ。El Escarpínのメニューにもあり、スペイン各地の魚介料理が首都へ集まることを示す一皿になる。タコ料理なら何でもこの名称ではないため、鉄板焼きなど別の調理法と区別したい。マドリード固有の郷土料理ではなく他地域由来の候補だ。</x:v>
      </x:c>
      <x:c r="G47" s="24" t="str">
        <x:v>El Escarpín</x:v>
      </x:c>
      <x:c r="H47" s="24" t="str">
        <x:v>通年扱い・営業日は別途確認</x:v>
      </x:c>
      <x:c r="I47" s="24" t="str"/>
      <x:c r="J47" s="24" t="n">
        <x:f>IF(I47="",0,LEN(I47)-LEN(SUBSTITUTE(I47,",",""))+1)</x:f>
        <x:v>0</x:v>
      </x:c>
      <x:c r="K47" s="24" t="str">
        <x:v>未確保</x:v>
      </x:c>
      <x:c r="L47" s="24" t="str">
        <x:v>S09</x:v>
      </x:c>
      <x:c r="M47" s="24" t="str">
        <x:v>https://elescarpinsidreria.com/</x:v>
      </x:c>
      <x:c r="N47" s="24" t="str"/>
      <x:c r="O47" s="24" t="str">
        <x:v>Madrid発祥としない。茹で方と調味はレシピ資料を追加。</x:v>
      </x:c>
      <x:c r="P47" s="24" t="str">
        <x:v>前回の情報を継承。今回の全記述再確認ではない。</x:v>
      </x:c>
    </x:row>
    <x:row r="48" ht="92" customHeight="1">
      <x:c r="A48" s="22" t="str">
        <x:v>M044</x:v>
      </x:c>
      <x:c r="B48" s="22" t="str">
        <x:v>トルトス・デ・マイス</x:v>
      </x:c>
      <x:c r="C48" s="22" t="str">
        <x:v>Tortos de maíz</x:v>
      </x:c>
      <x:c r="D48" s="22" t="str">
        <x:v>全国・他地方由来／首都で食べる一品</x:v>
      </x:c>
      <x:c r="E48" s="22"/>
      <x:c r="F48" s="22" t="str">
        <x:v>トルトス・デ・マイスは、トウモロコシの生地を使うアストゥリアスの料理。El Escarpínでは肉やモルシージャを合わせる版がある。パンやジャガイモだけではない主食の食べ方を知る候補になる。上に載るものを含めて一品なので、生地だけの料理と思わず具材も読もう。</x:v>
      </x:c>
      <x:c r="G48" s="22" t="str">
        <x:v>El Escarpín</x:v>
      </x:c>
      <x:c r="H48" s="22" t="str">
        <x:v>通年扱い・営業日は別途確認</x:v>
      </x:c>
      <x:c r="I48" s="22" t="str"/>
      <x:c r="J48" s="22" t="n">
        <x:f>IF(I48="",0,LEN(I48)-LEN(SUBSTITUTE(I48,",",""))+1)</x:f>
        <x:v>0</x:v>
      </x:c>
      <x:c r="K48" s="22" t="str">
        <x:v>未確保</x:v>
      </x:c>
      <x:c r="L48" s="22" t="str">
        <x:v>S09</x:v>
      </x:c>
      <x:c r="M48" s="22" t="str">
        <x:v>https://elescarpinsidreria.com/</x:v>
      </x:c>
      <x:c r="N48" s="22" t="str"/>
      <x:c r="O48" s="22" t="str">
        <x:v>記事では同店がアストゥリアス料理店であることを明示。</x:v>
      </x:c>
      <x:c r="P48" s="22" t="str">
        <x:v>前回の情報を継承。今回の全記述再確認ではない。</x:v>
      </x:c>
    </x:row>
    <x:row r="49" ht="92" customHeight="1">
      <x:c r="A49" s="24" t="str">
        <x:v>M045</x:v>
      </x:c>
      <x:c r="B49" s="24" t="str">
        <x:v>ツナのエンパナーダ</x:v>
      </x:c>
      <x:c r="C49" s="24" t="str">
        <x:v>Empanada de atún</x:v>
      </x:c>
      <x:c r="D49" s="24" t="str">
        <x:v>全国・他地方由来／首都で食べる一品</x:v>
      </x:c>
      <x:c r="E49" s="24"/>
      <x:c r="F49" s="24" t="str">
        <x:v>ツナなどの魚を生地で包むエンパナーダ。La Mallorquinaにはパイ生地の塩味商品として探せる例がある。地方の大きなエンパナーダと、菓子店が売るパイを同じ一種類の生地で説明しない方がよい。大きさ、切り売りかどうか、魚の種類を見て選びたい。</x:v>
      </x:c>
      <x:c r="G49" s="24" t="str">
        <x:v>La Mallorquinaの写真・塩味商品一覧</x:v>
      </x:c>
      <x:c r="H49" s="24" t="str">
        <x:v>通年扱い・営業日は別途確認</x:v>
      </x:c>
      <x:c r="I49" s="24" t="str">
        <x:v>P028</x:v>
      </x:c>
      <x:c r="J49" s="24" t="n">
        <x:f>IF(I49="",0,LEN(I49)-LEN(SUBSTITUTE(I49,",",""))+1)</x:f>
        <x:v>1</x:v>
      </x:c>
      <x:c r="K49" s="24" t="str">
        <x:v>候補あり</x:v>
      </x:c>
      <x:c r="L49" s="24" t="str">
        <x:v>S11</x:v>
      </x:c>
      <x:c r="M49" s="24" t="str">
        <x:v>https://pastelerialamallorquina.es/salados/</x:v>
      </x:c>
      <x:c r="N49" s="24" t="str"/>
      <x:c r="O49" s="24" t="str">
        <x:v>『ガリシア伝統の生地』と写真のパイ生地を同一視しない。</x:v>
      </x:c>
      <x:c r="P49" s="24" t="str">
        <x:v>前回の情報を継承。今回の全記述再確認ではない。</x:v>
      </x:c>
    </x:row>
    <x:row r="50" ht="92" customHeight="1">
      <x:c r="A50" s="22" t="str">
        <x:v>M046</x:v>
      </x:c>
      <x:c r="B50" s="22" t="str">
        <x:v>ファバーダ</x:v>
      </x:c>
      <x:c r="C50" s="22" t="str">
        <x:v>Fabada asturiana</x:v>
      </x:c>
      <x:c r="D50" s="22" t="str">
        <x:v>全国・他地方由来／首都で食べる一品</x:v>
      </x:c>
      <x:c r="E50" s="22"/>
      <x:c r="F50" s="22" t="str">
        <x:v>ファバーダは豆と肉類を組み合わせるアストゥリアスの煮込み。El Escarpínのメニューが首都での注文先の候補になる。ひよこ豆のコシードと並べると、同じ「豆と肉の煮込み」でも別の地域料理だと分かる。マドリード由来ではないことを明記しつつ、地方料理を食べる楽しみに加えたい。</x:v>
      </x:c>
      <x:c r="G50" s="22" t="str">
        <x:v>El Escarpín</x:v>
      </x:c>
      <x:c r="H50" s="22" t="str">
        <x:v>通年扱い・営業日は別途確認</x:v>
      </x:c>
      <x:c r="I50" s="22" t="str"/>
      <x:c r="J50" s="22" t="n">
        <x:f>IF(I50="",0,LEN(I50)-LEN(SUBSTITUTE(I50,",",""))+1)</x:f>
        <x:v>0</x:v>
      </x:c>
      <x:c r="K50" s="22" t="str">
        <x:v>未確保</x:v>
      </x:c>
      <x:c r="L50" s="22" t="str">
        <x:v>S09</x:v>
      </x:c>
      <x:c r="M50" s="22" t="str">
        <x:v>https://elescarpinsidreria.com/</x:v>
      </x:c>
      <x:c r="N50" s="22" t="str"/>
      <x:c r="O50" s="22" t="str">
        <x:v>豆の品種、ソーセージの種類、起源の説明は追加資料で補強。</x:v>
      </x:c>
      <x:c r="P50" s="22" t="str">
        <x:v>前回の情報を継承。今回の全記述再確認ではない。</x:v>
      </x:c>
    </x:row>
    <x:row r="51" ht="92" customHeight="1">
      <x:c r="A51" s="24" t="str">
        <x:v>M047</x:v>
      </x:c>
      <x:c r="B51" s="24" t="str">
        <x:v>カチョポ</x:v>
      </x:c>
      <x:c r="C51" s="24" t="str">
        <x:v>Cachopo</x:v>
      </x:c>
      <x:c r="D51" s="24" t="str">
        <x:v>全国・他地方由来／首都で食べる一品</x:v>
      </x:c>
      <x:c r="E51" s="24"/>
      <x:c r="F51" s="24" t="str">
        <x:v>カチョポは肉にハムとチーズを挟む料理。El Escarpínでは牛肉の版が掲載されている。切り口を見れば、肉の間に何を挟んでいるかが分かる一皿だ。大きさや付け合わせは店で異なるため、一人分か取り分け向きかを注文前に確かめると食事を組みやすい。</x:v>
      </x:c>
      <x:c r="G51" s="24" t="str">
        <x:v>El Escarpín</x:v>
      </x:c>
      <x:c r="H51" s="24" t="str">
        <x:v>通年扱い・営業日は別途確認</x:v>
      </x:c>
      <x:c r="I51" s="24" t="str"/>
      <x:c r="J51" s="24" t="n">
        <x:f>IF(I51="",0,LEN(I51)-LEN(SUBSTITUTE(I51,",",""))+1)</x:f>
        <x:v>0</x:v>
      </x:c>
      <x:c r="K51" s="24" t="str">
        <x:v>未確保</x:v>
      </x:c>
      <x:c r="L51" s="24" t="str">
        <x:v>S09</x:v>
      </x:c>
      <x:c r="M51" s="24" t="str">
        <x:v>https://elescarpinsidreria.com/</x:v>
      </x:c>
      <x:c r="N51" s="24" t="str"/>
      <x:c r="O51" s="24" t="str">
        <x:v>サイズ・分量を一般化せず店の一例として扱う。</x:v>
      </x:c>
      <x:c r="P51" s="24" t="str">
        <x:v>前回の情報を継承。今回の全記述再確認ではない。</x:v>
      </x:c>
    </x:row>
    <x:row r="52" ht="92" customHeight="1">
      <x:c r="A52" s="22" t="str">
        <x:v>M048</x:v>
      </x:c>
      <x:c r="B52" s="22" t="str">
        <x:v>白インゲン豆とアサリの煮込み</x:v>
      </x:c>
      <x:c r="C52" s="22" t="str">
        <x:v>Fabes con almejas</x:v>
      </x:c>
      <x:c r="D52" s="22" t="str">
        <x:v>全国・他地方由来／首都で食べる一品</x:v>
      </x:c>
      <x:c r="E52" s="22"/>
      <x:c r="F52" s="22" t="str">
        <x:v>白インゲン豆とアサリを合わせる煮込み。El Escarpínにはfabes con almejasとして載っている。肉を使うファバーダと比べれば、同じ豆文化の中にも海産物を合わせる料理があると分かる。豆料理だから肉や魚介を使わないとは限らないことにも気を付けたい。</x:v>
      </x:c>
      <x:c r="G52" s="22" t="str">
        <x:v>El Escarpín</x:v>
      </x:c>
      <x:c r="H52" s="22" t="str">
        <x:v>通年扱い・営業日は別途確認</x:v>
      </x:c>
      <x:c r="I52" s="22" t="str"/>
      <x:c r="J52" s="22" t="n">
        <x:f>IF(I52="",0,LEN(I52)-LEN(SUBSTITUTE(I52,",",""))+1)</x:f>
        <x:v>0</x:v>
      </x:c>
      <x:c r="K52" s="22" t="str">
        <x:v>未確保</x:v>
      </x:c>
      <x:c r="L52" s="22" t="str">
        <x:v>S09</x:v>
      </x:c>
      <x:c r="M52" s="22" t="str">
        <x:v>https://elescarpinsidreria.com/</x:v>
      </x:c>
      <x:c r="N52" s="22" t="str"/>
      <x:c r="O52" s="22" t="str">
        <x:v>貝の種類の日本語表記は流通名を再確認。</x:v>
      </x:c>
      <x:c r="P52" s="22" t="str">
        <x:v>前回の情報を継承。今回の全記述再確認ではない。</x:v>
      </x:c>
    </x:row>
    <x:row r="53" ht="92" customHeight="1">
      <x:c r="A53" s="24" t="str">
        <x:v>M049</x:v>
      </x:c>
      <x:c r="B53" s="24" t="str">
        <x:v>メルルーサのガリシア風</x:v>
      </x:c>
      <x:c r="C53" s="24" t="str">
        <x:v>Merluza a la gallega</x:v>
      </x:c>
      <x:c r="D53" s="24" t="str">
        <x:v>全国・他地方由来／首都で食べる一品</x:v>
      </x:c>
      <x:c r="E53" s="24"/>
      <x:c r="F53" s="24" t="str">
        <x:v>メルルーサをガリシア風に仕上げる魚料理。Casa Ciriacoのメニューにも見つかる。タラのbacalao、ベスーゴのbesugoとは魚名が違うので、白身魚という一言でまとめずメニューの表記を残そう。首都の老舗で他地域の調理法に出会う候補になる。</x:v>
      </x:c>
      <x:c r="G53" s="24" t="str">
        <x:v>Casa Ciriaco</x:v>
      </x:c>
      <x:c r="H53" s="24" t="str">
        <x:v>通年扱い・営業日は別途確認</x:v>
      </x:c>
      <x:c r="I53" s="24" t="str"/>
      <x:c r="J53" s="24" t="n">
        <x:f>IF(I53="",0,LEN(I53)-LEN(SUBSTITUTE(I53,",",""))+1)</x:f>
        <x:v>0</x:v>
      </x:c>
      <x:c r="K53" s="24" t="str">
        <x:v>未確保</x:v>
      </x:c>
      <x:c r="L53" s="24" t="str">
        <x:v>S07</x:v>
      </x:c>
      <x:c r="M53" s="24" t="str">
        <x:v>https://www.casaciriaco.es/carta-restaurante</x:v>
      </x:c>
      <x:c r="N53" s="24" t="str"/>
      <x:c r="O53" s="24" t="str">
        <x:v>ソース・付け合わせの具体的構成は店別確認。</x:v>
      </x:c>
      <x:c r="P53" s="24" t="str">
        <x:v>前回の情報を継承。今回の全記述再確認ではない。</x:v>
      </x:c>
    </x:row>
    <x:row r="54" ht="92" customHeight="1">
      <x:c r="A54" s="22" t="str">
        <x:v>M050</x:v>
      </x:c>
      <x:c r="B54" s="22" t="str">
        <x:v>小イカの鉄板焼き</x:v>
      </x:c>
      <x:c r="C54" s="22" t="str">
        <x:v>Chipirones a la plancha</x:v>
      </x:c>
      <x:c r="D54" s="22" t="str">
        <x:v>全国・他地方由来／首都で食べる一品</x:v>
      </x:c>
      <x:c r="E54" s="22"/>
      <x:c r="F54" s="22" t="str">
        <x:v>小さなイカを鉄板で焼くチピロネス。Casa CiriacoやLos Galayosのメニューにある。輪切りにして揚げたイカサンドとは、見た目も調理法も違う一皿だ。イカを好きな人が別の料理を選ぶ入口として、a la planchaという鉄板焼きの表記を覚えておくと探しやすい。</x:v>
      </x:c>
      <x:c r="G54" s="22" t="str">
        <x:v>Casa Ciriaco／Los Galayos</x:v>
      </x:c>
      <x:c r="H54" s="22" t="str">
        <x:v>通年扱い・営業日は別途確認</x:v>
      </x:c>
      <x:c r="I54" s="22" t="str"/>
      <x:c r="J54" s="22" t="n">
        <x:f>IF(I54="",0,LEN(I54)-LEN(SUBSTITUTE(I54,",",""))+1)</x:f>
        <x:v>0</x:v>
      </x:c>
      <x:c r="K54" s="22" t="str">
        <x:v>未確保</x:v>
      </x:c>
      <x:c r="L54" s="22" t="str">
        <x:v>S07, S33</x:v>
      </x:c>
      <x:c r="M54" s="22" t="str">
        <x:v>https://www.casaciriaco.es/carta-restaurante
https://www.losgalayos.net/documentos/carta_es-en.pdf</x:v>
      </x:c>
      <x:c r="N54" s="22" t="str"/>
      <x:c r="O54" s="22" t="str">
        <x:v>Los GalayosはHuelva産と足の揚げ物を明記。Madrid産とはしない。</x:v>
      </x:c>
      <x:c r="P54" s="22" t="str">
        <x:v>前回の情報を継承。今回の全記述再確認ではない。</x:v>
      </x:c>
    </x:row>
    <x:row r="55" ht="92" customHeight="1">
      <x:c r="A55" s="24" t="str">
        <x:v>M051</x:v>
      </x:c>
      <x:c r="B55" s="24" t="str">
        <x:v>魚介のサルピコン</x:v>
      </x:c>
      <x:c r="C55" s="24" t="str">
        <x:v>Salpicón de marisco</x:v>
      </x:c>
      <x:c r="D55" s="24" t="str">
        <x:v>全国・他地方由来／首都で食べる一品</x:v>
      </x:c>
      <x:c r="E55" s="24"/>
      <x:c r="F55" s="24" t="str">
        <x:v>サルピコン・デ・マリスコは魚介を使う冷菜。Lhardyはオマールを使う版を掲載している。一般的な料理名と、その店が選ぶ高級食材は区別して読もう。どの店でも同じ魚介が入るわけではないので、材料名と価格を一緒に確認したい。</x:v>
      </x:c>
      <x:c r="G55" s="24" t="str">
        <x:v>Lhardy</x:v>
      </x:c>
      <x:c r="H55" s="24" t="str">
        <x:v>通年扱い・営業日は別途確認</x:v>
      </x:c>
      <x:c r="I55" s="24" t="str"/>
      <x:c r="J55" s="24" t="n">
        <x:f>IF(I55="",0,LEN(I55)-LEN(SUBSTITUTE(I55,",",""))+1)</x:f>
        <x:v>0</x:v>
      </x:c>
      <x:c r="K55" s="24" t="str">
        <x:v>未確保</x:v>
      </x:c>
      <x:c r="L55" s="24" t="str">
        <x:v>S04</x:v>
      </x:c>
      <x:c r="M55" s="24" t="str">
        <x:v>https://lhardy.com/carta/</x:v>
      </x:c>
      <x:c r="N55" s="24" t="str"/>
      <x:c r="O55" s="24" t="str">
        <x:v>全てのサルピコンをオマール入りと書かない。</x:v>
      </x:c>
      <x:c r="P55" s="24" t="str">
        <x:v>前回の情報を継承。今回の全記述再確認ではない。</x:v>
      </x:c>
    </x:row>
    <x:row r="56" ht="92" customHeight="1">
      <x:c r="A56" s="22" t="str">
        <x:v>M052</x:v>
      </x:c>
      <x:c r="B56" s="22" t="str">
        <x:v>ガンバス・ア・ラ・ガバルディーナ</x:v>
      </x:c>
      <x:c r="C56" s="22" t="str">
        <x:v>Gambas a la gabardina</x:v>
      </x:c>
      <x:c r="D56" s="22" t="str">
        <x:v>全国・他地方由来／首都で食べる一品</x:v>
      </x:c>
      <x:c r="E56" s="22"/>
      <x:c r="F56" s="22" t="str">
        <x:v>エビに衣を付けて揚げる、ガンバス・ア・ラ・ガバルディーナ。ニンニクと油のアヒージョとは別の調理法で、タラの衣揚げとも素材が違う。魚介の揚げ物を少しずつ比べる候補になる。現在の販売店と一皿の数は個別確認が必要で、過去写真から当日のメニューは判断できない。</x:v>
      </x:c>
      <x:c r="G56" s="22" t="str">
        <x:v>Madrid料理の写真原典・現行店は追加確認</x:v>
      </x:c>
      <x:c r="H56" s="22" t="str">
        <x:v>通年扱い・営業日は別途確認</x:v>
      </x:c>
      <x:c r="I56" s="22" t="str">
        <x:v>P016</x:v>
      </x:c>
      <x:c r="J56" s="22" t="n">
        <x:f>IF(I56="",0,LEN(I56)-LEN(SUBSTITUTE(I56,",",""))+1)</x:f>
        <x:v>1</x:v>
      </x:c>
      <x:c r="K56" s="22" t="str">
        <x:v>候補あり</x:v>
      </x:c>
      <x:c r="L56" s="22" t="str">
        <x:v>S01</x:v>
      </x:c>
      <x:c r="M56" s="22" t="str">
        <x:v>https://www.esmadrid.com/de/madrider-gastronomie</x:v>
      </x:c>
      <x:c r="N56" s="22" t="str"/>
      <x:c r="O56" s="22" t="str">
        <x:v>由来の逸話と衣の配合は未確認。S01は一般的な料理文化の背景資料。</x:v>
      </x:c>
      <x:c r="P56" s="22" t="str">
        <x:v>前回の情報を継承。今回の全記述再確認ではない。</x:v>
      </x:c>
    </x:row>
    <x:row r="57" ht="92" customHeight="1">
      <x:c r="A57" s="24" t="str">
        <x:v>M053</x:v>
      </x:c>
      <x:c r="B57" s="24" t="str">
        <x:v>コウイカの鉄板焼き</x:v>
      </x:c>
      <x:c r="C57" s="24" t="str">
        <x:v>Sepia a la plancha</x:v>
      </x:c>
      <x:c r="D57" s="24" t="str">
        <x:v>全国・他地方由来／首都で食べる一品</x:v>
      </x:c>
      <x:c r="E57" s="24"/>
      <x:c r="F57" s="24" t="str">
        <x:v>セピアはコウイカ。El Escarpínでは鉄板焼きとして掲載されている。小イカのチピロネスと同じ語ではないので、メニューで並んでいたら食材名を分けて選びたい。イカ料理を揚げ物だけで終わらせないための一皿になる。</x:v>
      </x:c>
      <x:c r="G57" s="24" t="str">
        <x:v>El Escarpín</x:v>
      </x:c>
      <x:c r="H57" s="24" t="str">
        <x:v>通年扱い・営業日は別途確認</x:v>
      </x:c>
      <x:c r="I57" s="24" t="str"/>
      <x:c r="J57" s="24" t="n">
        <x:f>IF(I57="",0,LEN(I57)-LEN(SUBSTITUTE(I57,",",""))+1)</x:f>
        <x:v>0</x:v>
      </x:c>
      <x:c r="K57" s="24" t="str">
        <x:v>未確保</x:v>
      </x:c>
      <x:c r="L57" s="24" t="str">
        <x:v>S09</x:v>
      </x:c>
      <x:c r="M57" s="24" t="str">
        <x:v>https://elescarpinsidreria.com/</x:v>
      </x:c>
      <x:c r="N57" s="24" t="str"/>
      <x:c r="O57" s="24" t="str">
        <x:v>日本の特定のコウイカ種との同一視は避ける。</x:v>
      </x:c>
      <x:c r="P57" s="24" t="str">
        <x:v>前回の情報を継承。今回の全記述再確認ではない。</x:v>
      </x:c>
    </x:row>
    <x:row r="58" ht="92" customHeight="1">
      <x:c r="A58" s="22" t="str">
        <x:v>M054</x:v>
      </x:c>
      <x:c r="B58" s="22" t="str">
        <x:v>サンブリーニャス</x:v>
      </x:c>
      <x:c r="C58" s="22" t="str">
        <x:v>Zamburiñas</x:v>
      </x:c>
      <x:c r="D58" s="22" t="str">
        <x:v>全国・他地方由来／首都で食べる一品</x:v>
      </x:c>
      <x:c r="E58" s="22"/>
      <x:c r="F58" s="22" t="str">
        <x:v>サンブリーニャスは、El Escarpínなどのメニューで見つかる貝料理の名称。小さな殻付きの皿として魚介の章へ加えられる。ただし流通名から生物種を決めつけず、種類を詳しく説明する場合は店や仕入先の情報を確かめたい。</x:v>
      </x:c>
      <x:c r="G58" s="22" t="str">
        <x:v>El Escarpín</x:v>
      </x:c>
      <x:c r="H58" s="22" t="str">
        <x:v>通年扱い・営業日は別途確認</x:v>
      </x:c>
      <x:c r="I58" s="22" t="str"/>
      <x:c r="J58" s="22" t="n">
        <x:f>IF(I58="",0,LEN(I58)-LEN(SUBSTITUTE(I58,",",""))+1)</x:f>
        <x:v>0</x:v>
      </x:c>
      <x:c r="K58" s="22" t="str">
        <x:v>未確保</x:v>
      </x:c>
      <x:c r="L58" s="22" t="str">
        <x:v>S09</x:v>
      </x:c>
      <x:c r="M58" s="22" t="str">
        <x:v>https://elescarpinsidreria.com/</x:v>
      </x:c>
      <x:c r="N58" s="22" t="str"/>
      <x:c r="O58" s="22" t="str">
        <x:v>zamburiñaとvolandeiraは市場で混同されるため、食用種を写真や名前だけで断定しない。</x:v>
      </x:c>
      <x:c r="P58" s="22" t="str">
        <x:v>前回の情報を継承。今回の全記述再確認ではない。</x:v>
      </x:c>
    </x:row>
    <x:row r="59" ht="92" customHeight="1">
      <x:c r="A59" s="24" t="str">
        <x:v>M055</x:v>
      </x:c>
      <x:c r="B59" s="24" t="str">
        <x:v>ムール貝</x:v>
      </x:c>
      <x:c r="C59" s="24" t="str">
        <x:v>Mejillones</x:v>
      </x:c>
      <x:c r="D59" s="24" t="str">
        <x:v>全国・他地方由来／首都で食べる一品</x:v>
      </x:c>
      <x:c r="E59" s="24"/>
      <x:c r="F59" s="24" t="str">
        <x:v>ムール貝はmejillonesという名前が目印。El Escarpínのような店のメニューから探せる。貝の種類だけでなく、蒸し物かソースを合わせるのかで料理は変わるため、調理法まで読んで選ぼう。首都近郊の海産物という意味ではなく、各地から届く食材の一例だ。</x:v>
      </x:c>
      <x:c r="G59" s="24" t="str">
        <x:v>El Escarpín</x:v>
      </x:c>
      <x:c r="H59" s="24" t="str">
        <x:v>通年扱い・営業日は別途確認</x:v>
      </x:c>
      <x:c r="I59" s="24" t="str"/>
      <x:c r="J59" s="24" t="n">
        <x:f>IF(I59="",0,LEN(I59)-LEN(SUBSTITUTE(I59,",",""))+1)</x:f>
        <x:v>0</x:v>
      </x:c>
      <x:c r="K59" s="24" t="str">
        <x:v>未確保</x:v>
      </x:c>
      <x:c r="L59" s="24" t="str">
        <x:v>S09</x:v>
      </x:c>
      <x:c r="M59" s="24" t="str">
        <x:v>https://elescarpinsidreria.com/</x:v>
      </x:c>
      <x:c r="N59" s="24" t="str"/>
      <x:c r="O59" s="24" t="str">
        <x:v>蒸す・ソース煮などの調理法は採用店のメニューを追加確認。</x:v>
      </x:c>
      <x:c r="P59" s="24" t="str">
        <x:v>前回の情報を継承。今回の全記述再確認ではない。</x:v>
      </x:c>
    </x:row>
    <x:row r="60" ht="92" customHeight="1">
      <x:c r="A60" s="22" t="str">
        <x:v>M056</x:v>
      </x:c>
      <x:c r="B60" s="22" t="str">
        <x:v>生牡蠣</x:v>
      </x:c>
      <x:c r="C60" s="22" t="str">
        <x:v>Ostras</x:v>
      </x:c>
      <x:c r="D60" s="22" t="str">
        <x:v>全国・他地方由来／首都で食べる一品</x:v>
      </x:c>
      <x:c r="E60" s="22"/>
      <x:c r="F60" s="22" t="str">
        <x:v>牡蠣はLhardyやサン・ミゲル市場の販売情報から探せる。市場に集まる魚介を一つずつ選びたいときの候補になる。産地、種類、大きさ、何個単位の価格かを読もう。マドリードで提供されることと、マドリードで採れたことは別である。</x:v>
      </x:c>
      <x:c r="G60" s="22" t="str">
        <x:v>Lhardy／San Miguel市場 Daniel Sorlut</x:v>
      </x:c>
      <x:c r="H60" s="22" t="str">
        <x:v>通年扱い・営業日は別途確認</x:v>
      </x:c>
      <x:c r="I60" s="22" t="str"/>
      <x:c r="J60" s="22" t="n">
        <x:f>IF(I60="",0,LEN(I60)-LEN(SUBSTITUTE(I60,",",""))+1)</x:f>
        <x:v>0</x:v>
      </x:c>
      <x:c r="K60" s="22" t="str">
        <x:v>未確保</x:v>
      </x:c>
      <x:c r="L60" s="22" t="str">
        <x:v>S04, S13</x:v>
      </x:c>
      <x:c r="M60" s="22" t="str">
        <x:v>https://lhardy.com/carta/
https://mercadodesanmiguel.es/puestos/</x:v>
      </x:c>
      <x:c r="N60" s="22" t="str"/>
      <x:c r="O60" s="22" t="str">
        <x:v>産地、品種、生食提供の最新状況は商品単位で確認。</x:v>
      </x:c>
      <x:c r="P60" s="22" t="str">
        <x:v>前回の情報を継承。今回の全記述再確認ではない。</x:v>
      </x:c>
    </x:row>
    <x:row r="61" ht="92" customHeight="1">
      <x:c r="A61" s="24" t="str">
        <x:v>M057</x:v>
      </x:c>
      <x:c r="B61" s="24" t="str">
        <x:v>パエリア</x:v>
      </x:c>
      <x:c r="C61" s="24" t="str">
        <x:v>Paella</x:v>
      </x:c>
      <x:c r="D61" s="24" t="str">
        <x:v>全国・他地方由来／首都で食べる一品</x:v>
      </x:c>
      <x:c r="E61" s="24"/>
      <x:c r="F61" s="24" t="str">
        <x:v>パエリアはバレンシア由来の料理として位置付け、マドリード発祥の名物とは分けておきたい。市内の市場や店でも米料理を探せるが、具材や提供方法はさまざま。コシードなど地元に結び付く料理を選んだうえで、スペイン各地の味を広げる一皿として加えるとよい。</x:v>
      </x:c>
      <x:c r="G61" s="24" t="str">
        <x:v>San Miguel市場 Paella by Rodrigo de la Calle／El Escarpín</x:v>
      </x:c>
      <x:c r="H61" s="24" t="str">
        <x:v>通年扱い・営業日は別途確認</x:v>
      </x:c>
      <x:c r="I61" s="24" t="str"/>
      <x:c r="J61" s="24" t="n">
        <x:f>IF(I61="",0,LEN(I61)-LEN(SUBSTITUTE(I61,",",""))+1)</x:f>
        <x:v>0</x:v>
      </x:c>
      <x:c r="K61" s="24" t="str">
        <x:v>未確保</x:v>
      </x:c>
      <x:c r="L61" s="24" t="str">
        <x:v>S13, S09</x:v>
      </x:c>
      <x:c r="M61" s="24" t="str">
        <x:v>https://mercadodesanmiguel.es/puestos/
https://elescarpinsidreria.com/</x:v>
      </x:c>
      <x:c r="N61" s="24" t="str"/>
      <x:c r="O61" s="24" t="str">
        <x:v>海鮮版を全て『伝統的なパエリア・バレンシアーナ』と書かない。</x:v>
      </x:c>
      <x:c r="P61" s="24" t="str">
        <x:v>前回の情報を継承。今回の全記述再確認ではない。</x:v>
      </x:c>
    </x:row>
    <x:row r="62" ht="92" customHeight="1">
      <x:c r="A62" s="22" t="str">
        <x:v>M058</x:v>
      </x:c>
      <x:c r="B62" s="22" t="str">
        <x:v>セピア入りの黒い米料理</x:v>
      </x:c>
      <x:c r="C62" s="22" t="str">
        <x:v>Arroz negro con sepia</x:v>
      </x:c>
      <x:c r="D62" s="22" t="str">
        <x:v>全国・他地方由来／首都で食べる一品</x:v>
      </x:c>
      <x:c r="E62" s="22"/>
      <x:c r="F62" s="22" t="str">
        <x:v>セピア入りの黒い米料理は、El Escarpínのメニューに掲載されている。黒い色の料理としてだけでなく、イカ墨とコウイカを使う米料理として名前を読むと具体的になる。パエリアを含む米料理の章で、材料と調理法の異なる一品として選びたい。</x:v>
      </x:c>
      <x:c r="G62" s="22" t="str">
        <x:v>El Escarpín</x:v>
      </x:c>
      <x:c r="H62" s="22" t="str">
        <x:v>通年扱い・営業日は別途確認</x:v>
      </x:c>
      <x:c r="I62" s="22" t="str"/>
      <x:c r="J62" s="22" t="n">
        <x:f>IF(I62="",0,LEN(I62)-LEN(SUBSTITUTE(I62,",",""))+1)</x:f>
        <x:v>0</x:v>
      </x:c>
      <x:c r="K62" s="22" t="str">
        <x:v>未確保</x:v>
      </x:c>
      <x:c r="L62" s="22" t="str">
        <x:v>S09</x:v>
      </x:c>
      <x:c r="M62" s="22" t="str">
        <x:v>https://elescarpinsidreria.com/</x:v>
      </x:c>
      <x:c r="N62" s="22" t="str"/>
      <x:c r="O62" s="22" t="str">
        <x:v>提供人数と価格は一人前・二人前を混同しない。</x:v>
      </x:c>
      <x:c r="P62" s="22" t="str">
        <x:v>前回の情報を継承。今回の全記述再確認ではない。</x:v>
      </x:c>
    </x:row>
    <x:row r="63" ht="92" customHeight="1">
      <x:c r="A63" s="24" t="str">
        <x:v>M059</x:v>
      </x:c>
      <x:c r="B63" s="24" t="str">
        <x:v>ガスパチョ</x:v>
      </x:c>
      <x:c r="C63" s="24" t="str">
        <x:v>Gazpacho</x:v>
      </x:c>
      <x:c r="D63" s="24" t="str">
        <x:v>全国・他地方由来／首都で食べる一品</x:v>
      </x:c>
      <x:c r="E63" s="24"/>
      <x:c r="F63" s="24" t="str">
        <x:v>ガスパチョは野菜を使う冷たいスープ。全国的に知られる料理だが、Lhardyにはカニを合わせる版があり、店独自のアレンジも見える。一般的なガスパチョの説明に、特定店の追加具材を混ぜないこと。菜食のつもりで頼む場合も、メニューの具材を最後まで確認したい。</x:v>
      </x:c>
      <x:c r="G63" s="24" t="str">
        <x:v>Lhardy</x:v>
      </x:c>
      <x:c r="H63" s="24" t="str">
        <x:v>冷たい料理として紹介・提供時期は確認</x:v>
      </x:c>
      <x:c r="I63" s="24" t="str"/>
      <x:c r="J63" s="24" t="n">
        <x:f>IF(I63="",0,LEN(I63)-LEN(SUBSTITUTE(I63,",",""))+1)</x:f>
        <x:v>0</x:v>
      </x:c>
      <x:c r="K63" s="24" t="str">
        <x:v>未確保</x:v>
      </x:c>
      <x:c r="L63" s="24" t="str">
        <x:v>S04</x:v>
      </x:c>
      <x:c r="M63" s="24" t="str">
        <x:v>https://lhardy.com/carta/</x:v>
      </x:c>
      <x:c r="N63" s="24" t="str"/>
      <x:c r="O63" s="24" t="str">
        <x:v>甲殻類入りは同店の版。全てのガスパチョにカニが入るわけではない。</x:v>
      </x:c>
      <x:c r="P63" s="24" t="str">
        <x:v>前回の情報を継承。今回の全記述再確認ではない。</x:v>
      </x:c>
    </x:row>
    <x:row r="64" ht="92" customHeight="1">
      <x:c r="A64" s="22" t="str">
        <x:v>M060</x:v>
      </x:c>
      <x:c r="B64" s="22" t="str">
        <x:v>サルモレホ・コルドベス</x:v>
      </x:c>
      <x:c r="C64" s="22" t="str">
        <x:v>Salmorejo cordobés</x:v>
      </x:c>
      <x:c r="D64" s="22" t="str">
        <x:v>全国・他地方由来／首都で食べる一品</x:v>
      </x:c>
      <x:c r="E64" s="22"/>
      <x:c r="F64" s="22" t="str">
        <x:v>サルモレホ・コルドベスは、コルドバ系の濃い冷製スープ・クリーム。Casa AlbertoやLos Galayosのメニューにもある。ガスパチョと同じものとして扱わず、濃度や付け合わせを比べると違いが見える。マドリードでは、他地域の料理を選ぶ一品として位置付けたい。</x:v>
      </x:c>
      <x:c r="G64" s="22" t="str">
        <x:v>Casa Alberto／Los Galayos</x:v>
      </x:c>
      <x:c r="H64" s="22" t="str">
        <x:v>通年扱い・営業日は別途確認</x:v>
      </x:c>
      <x:c r="I64" s="22" t="str"/>
      <x:c r="J64" s="22" t="n">
        <x:f>IF(I64="",0,LEN(I64)-LEN(SUBSTITUTE(I64,",",""))+1)</x:f>
        <x:v>0</x:v>
      </x:c>
      <x:c r="K64" s="22" t="str">
        <x:v>未確保</x:v>
      </x:c>
      <x:c r="L64" s="22" t="str">
        <x:v>S06, S33</x:v>
      </x:c>
      <x:c r="M64" s="22" t="str">
        <x:v>https://www.casaalberto.es/carta-restaurante-en?idIdioma=2
https://www.losgalayos.net/documentos/carta_es-en.pdf</x:v>
      </x:c>
      <x:c r="N64" s="22" t="str"/>
      <x:c r="O64" s="22" t="str">
        <x:v>Los Galayosは生ハム・ゆで卵・オリーブ油を明記。</x:v>
      </x:c>
      <x:c r="P64" s="22" t="str">
        <x:v>前回の情報を継承。今回の全記述再確認ではない。</x:v>
      </x:c>
    </x:row>
    <x:row r="65" ht="92" customHeight="1">
      <x:c r="A65" s="24" t="str">
        <x:v>M061</x:v>
      </x:c>
      <x:c r="B65" s="24" t="str">
        <x:v>チュロス</x:v>
      </x:c>
      <x:c r="C65" s="24" t="str">
        <x:v>Churros</x:v>
      </x:c>
      <x:c r="D65" s="24" t="str">
        <x:v>マドリードで定番・店の名物</x:v>
      </x:c>
      <x:c r="E65" s="24" t="n">
        <x:v>2</x:v>
      </x:c>
      <x:c r="F65" s="24" t="str">
        <x:v>チュロスと温かいチョコレートは、マドリードの甘いものを知る分かりやすい組合せ。San Ginésはその組合せで知られる店の一つだ。細長い揚げ生地だけで完結させず、カップの濃いチョコレートに浸す食べ方まで一緒に選びたい。朝食にも休憩にも組み込めるが、深夜営業や24時間営業は店ごとの現在の案内を確認しよう。</x:v>
      </x:c>
      <x:c r="G65" s="24" t="str">
        <x:v>Chocolatería San Ginés</x:v>
      </x:c>
      <x:c r="H65" s="24" t="str">
        <x:v>通年扱い・営業日は別途確認</x:v>
      </x:c>
      <x:c r="I65" s="24" t="str">
        <x:v>P026</x:v>
      </x:c>
      <x:c r="J65" s="24" t="n">
        <x:f>IF(I65="",0,LEN(I65)-LEN(SUBSTITUTE(I65,",",""))+1)</x:f>
        <x:v>1</x:v>
      </x:c>
      <x:c r="K65" s="24" t="str">
        <x:v>候補あり</x:v>
      </x:c>
      <x:c r="L65" s="24" t="str">
        <x:v>S22</x:v>
      </x:c>
      <x:c r="M65" s="24" t="str">
        <x:v>https://www.esmadrid.com/churros-con-chocolate-receta-san-gines-madrid</x:v>
      </x:c>
      <x:c r="N65" s="24" t="str"/>
      <x:c r="O65" s="24" t="str">
        <x:v>チュロス自体と飲み物は別の食品。セットをさらに一品と数えない。</x:v>
      </x:c>
      <x:c r="P65" s="24" t="str">
        <x:v>前回の情報を継承。今回の全記述再確認ではない。</x:v>
      </x:c>
    </x:row>
    <x:row r="66" ht="92" customHeight="1">
      <x:c r="A66" s="22" t="str">
        <x:v>M062</x:v>
      </x:c>
      <x:c r="B66" s="22" t="str">
        <x:v>ポラス</x:v>
      </x:c>
      <x:c r="C66" s="22" t="str">
        <x:v>Porras</x:v>
      </x:c>
      <x:c r="D66" s="22" t="str">
        <x:v>マドリードで定番・店の名物</x:v>
      </x:c>
      <x:c r="E66" s="22" t="n">
        <x:v>3</x:v>
      </x:c>
      <x:c r="F66" s="22" t="str">
        <x:v>ポラスはチュロスより太い揚げ生地。どちらも同じものの大小として済ませず、形や切り分けられ方を見比べると違いが分かりやすい。チョコレートと合わせて頼む場合も、チュロスとポラスのどちらを選ぶかを店頭で確かめたい。チュロスとポラスを同じ機会に少しずつ選ぶ方法もある。</x:v>
      </x:c>
      <x:c r="G66" s="22" t="str">
        <x:v>Chocolatería San Ginés・写真で確認</x:v>
      </x:c>
      <x:c r="H66" s="22" t="str">
        <x:v>通年扱い・営業日は別途確認</x:v>
      </x:c>
      <x:c r="I66" s="22" t="str">
        <x:v>P026</x:v>
      </x:c>
      <x:c r="J66" s="22" t="n">
        <x:f>IF(I66="",0,LEN(I66)-LEN(SUBSTITUTE(I66,",",""))+1)</x:f>
        <x:v>1</x:v>
      </x:c>
      <x:c r="K66" s="22" t="str">
        <x:v>候補あり</x:v>
      </x:c>
      <x:c r="L66" s="22" t="str">
        <x:v>S22</x:v>
      </x:c>
      <x:c r="M66" s="22" t="str">
        <x:v>https://www.esmadrid.com/churros-con-chocolate-receta-san-gines-madrid</x:v>
      </x:c>
      <x:c r="N66" s="22" t="str"/>
      <x:c r="O66" s="22" t="str">
        <x:v>生地の膨張剤や断面の説明は製造者の配合を追加確認。</x:v>
      </x:c>
      <x:c r="P66" s="22" t="str">
        <x:v>前回の情報を継承。今回の全記述再確認ではない。</x:v>
      </x:c>
    </x:row>
    <x:row r="67" ht="92" customHeight="1">
      <x:c r="A67" s="24" t="str">
        <x:v>M063</x:v>
      </x:c>
      <x:c r="B67" s="24" t="str">
        <x:v>トリハス</x:v>
      </x:c>
      <x:c r="C67" s="24" t="str">
        <x:v>Torrijas</x:v>
      </x:c>
      <x:c r="D67" s="24" t="str">
        <x:v>マドリードで定番・店の名物</x:v>
      </x:c>
      <x:c r="E67" s="24" t="n">
        <x:v>26</x:v>
      </x:c>
      <x:c r="F67" s="24" t="str">
        <x:v>トリハスはパンを使う甘い料理で、聖週間に結び付く菓子として紹介されている。パンが食事の主役から季節の甘味へ変わる一品だ。菓子店の売り場とレストランのデザートでは、仕上げや盛り付けが異なることもある。旅行時期が合うなら候補に加えつつ、店ごとの販売時期を確認して探したい。</x:v>
      </x:c>
      <x:c r="G67" s="24" t="str">
        <x:v>Casa Alberto／市観光局のレシピ集</x:v>
      </x:c>
      <x:c r="H67" s="24" t="str">
        <x:v>聖週間。通年提供店もある</x:v>
      </x:c>
      <x:c r="I67" s="24" t="str">
        <x:v>P039, P040</x:v>
      </x:c>
      <x:c r="J67" s="24" t="n">
        <x:f>IF(I67="",0,LEN(I67)-LEN(SUBSTITUTE(I67,",",""))+1)</x:f>
        <x:v>2</x:v>
      </x:c>
      <x:c r="K67" s="24" t="str">
        <x:v>候補あり</x:v>
      </x:c>
      <x:c r="L67" s="24" t="str">
        <x:v>S06, S02, S17</x:v>
      </x:c>
      <x:c r="M67" s="24" t="str">
        <x:v>https://www.casaalberto.es/carta-restaurante-en?idIdioma=2
https://www.esmadrid.com/reposteria-tradicional
https://www.esmadrid.com/recetas-madrid</x:v>
      </x:c>
      <x:c r="N67" s="24" t="str"/>
      <x:c r="O67" s="24" t="str">
        <x:v>牛乳・ワイン・蜜などの版の違いは具体的レシピを確認。</x:v>
      </x:c>
      <x:c r="P67" s="24" t="str">
        <x:v>前回の情報を継承。今回の全記述再確認ではない。</x:v>
      </x:c>
    </x:row>
    <x:row r="68" ht="92" customHeight="1">
      <x:c r="A68" s="22" t="str">
        <x:v>M064</x:v>
      </x:c>
      <x:c r="B68" s="22" t="str">
        <x:v>バルトリージョス</x:v>
      </x:c>
      <x:c r="C68" s="22" t="str">
        <x:v>Bartolillos</x:v>
      </x:c>
      <x:c r="D68" s="22" t="str">
        <x:v>地域の伝統・産品／発祥の断定ではない</x:v>
      </x:c>
      <x:c r="E68" s="22" t="n">
        <x:v>27</x:v>
      </x:c>
      <x:c r="F68" s="22" t="str">
        <x:v>バルトリージョスは薄い生地にクリームを包んで揚げる菓子。三角形に近い形の完成品を見ると、塩味の包み料理と似ていても中身が違うことが分かる。ナポリターナのような焼く菓子パンとは、包んだ後に揚げる点も異なる。名前を見かけたら、クリームを包んだ小さな揚げ菓子として選びたい。</x:v>
      </x:c>
      <x:c r="G68" s="22" t="str">
        <x:v>La Mallorquinaの記録写真／市観光局</x:v>
      </x:c>
      <x:c r="H68" s="22" t="str">
        <x:v>通年扱い・営業日は別途確認</x:v>
      </x:c>
      <x:c r="I68" s="22" t="str">
        <x:v>P032, P033, P034</x:v>
      </x:c>
      <x:c r="J68" s="22" t="n">
        <x:f>IF(I68="",0,LEN(I68)-LEN(SUBSTITUTE(I68,",",""))+1)</x:f>
        <x:v>3</x:v>
      </x:c>
      <x:c r="K68" s="22" t="str">
        <x:v>候補あり</x:v>
      </x:c>
      <x:c r="L68" s="22" t="str">
        <x:v>S02</x:v>
      </x:c>
      <x:c r="M68" s="22" t="str">
        <x:v>https://www.esmadrid.com/reposteria-tradicional</x:v>
      </x:c>
      <x:c r="N68" s="22" t="str"/>
      <x:c r="O68" s="22" t="str">
        <x:v>三枚が同一店舗の連続工程とは確認できない。</x:v>
      </x:c>
      <x:c r="P68" s="22" t="str">
        <x:v>前回の情報を継承。今回の全記述再確認ではない。</x:v>
      </x:c>
    </x:row>
    <x:row r="69" ht="92" customHeight="1">
      <x:c r="A69" s="24" t="str">
        <x:v>M065</x:v>
      </x:c>
      <x:c r="B69" s="24" t="str">
        <x:v>サン・イシドロのロスキージャス</x:v>
      </x:c>
      <x:c r="C69" s="24" t="str">
        <x:v>Rosquillas de San Isidro</x:v>
      </x:c>
      <x:c r="D69" s="24" t="str">
        <x:v>地域の伝統・産品／発祥の断定ではない</x:v>
      </x:c>
      <x:c r="E69" s="24" t="n">
        <x:v>28</x:v>
      </x:c>
      <x:c r="F69" s="24" t="str">
        <x:v>サン・イシドロの祭りに結び付く輪形のロスキージャス。tontas、listasなど、名前と仕上げの異なる種類がある。一つの菓子をどう仕上げるか、売り場で見比べるのも楽しみ方の一つ。5月のマドリードを紹介するなら、街の行事と菓子売り場をつなぐ題材になる。</x:v>
      </x:c>
      <x:c r="G69" s="24" t="str">
        <x:v>市観光局／Horno de San Onofreのレシピ入口</x:v>
      </x:c>
      <x:c r="H69" s="24" t="str">
        <x:v>5月のサン・イシドロ祭</x:v>
      </x:c>
      <x:c r="I69" s="24" t="str">
        <x:v>P018</x:v>
      </x:c>
      <x:c r="J69" s="24" t="n">
        <x:f>IF(I69="",0,LEN(I69)-LEN(SUBSTITUTE(I69,",",""))+1)</x:f>
        <x:v>1</x:v>
      </x:c>
      <x:c r="K69" s="24" t="str">
        <x:v>候補あり</x:v>
      </x:c>
      <x:c r="L69" s="24" t="str">
        <x:v>S02, S17, S29</x:v>
      </x:c>
      <x:c r="M69" s="24" t="str">
        <x:v>https://www.esmadrid.com/reposteria-tradicional
https://www.esmadrid.com/recetas-madrid
https://www.esmadrid.com/en/whats-on/sanisidro-madrid</x:v>
      </x:c>
      <x:c r="N69" s="24" t="str"/>
      <x:c r="O69" s="24" t="str">
        <x:v>種類を別々の品数として水増ししない。P018だけで型を断定しない。</x:v>
      </x:c>
      <x:c r="P69" s="24" t="str">
        <x:v>前回の情報を継承。今回の全記述再確認ではない。</x:v>
      </x:c>
    </x:row>
    <x:row r="70" ht="92" customHeight="1">
      <x:c r="A70" s="22" t="str">
        <x:v>M066</x:v>
      </x:c>
      <x:c r="B70" s="22" t="str">
        <x:v>サン・アントンのパネシージョス</x:v>
      </x:c>
      <x:c r="C70" s="22" t="str">
        <x:v>Panecillos de San Antón</x:v>
      </x:c>
      <x:c r="D70" s="22" t="str">
        <x:v>地域の伝統・産品／発祥の断定ではない</x:v>
      </x:c>
      <x:c r="E70" s="22" t="n">
        <x:v>29</x:v>
      </x:c>
      <x:c r="F70" s="22" t="str">
        <x:v>サン・アントンのパネシージョスは、1月の祭りに結び付く小さな焼き菓子。チュロスや普段の菓子パンとは違い、食の暦を感じられる候補になる。名前のpanecillosだけから普通の食事パンと考えず、祭礼菓子として探したい。1月以外の販売を保証せず、必要なら店舗に品名を添えて問い合わせよう。</x:v>
      </x:c>
      <x:c r="G70" s="22" t="str">
        <x:v>市観光局／La Marquesitaの記録写真</x:v>
      </x:c>
      <x:c r="H70" s="22" t="str">
        <x:v>1月17日前後</x:v>
      </x:c>
      <x:c r="I70" s="22" t="str">
        <x:v>P036</x:v>
      </x:c>
      <x:c r="J70" s="22" t="n">
        <x:f>IF(I70="",0,LEN(I70)-LEN(SUBSTITUTE(I70,",",""))+1)</x:f>
        <x:v>1</x:v>
      </x:c>
      <x:c r="K70" s="22" t="str">
        <x:v>候補あり</x:v>
      </x:c>
      <x:c r="L70" s="22" t="str">
        <x:v>S02</x:v>
      </x:c>
      <x:c r="M70" s="22" t="str">
        <x:v>https://www.esmadrid.com/reposteria-tradicional</x:v>
      </x:c>
      <x:c r="N70" s="22" t="str"/>
      <x:c r="O70" s="22" t="str">
        <x:v>写真の店の現在営業は未確認。由来の伝説は史実と区別する。</x:v>
      </x:c>
      <x:c r="P70" s="22" t="str">
        <x:v>前回の情報を継承。今回の全記述再確認ではない。</x:v>
      </x:c>
    </x:row>
    <x:row r="71" ht="92" customHeight="1">
      <x:c r="A71" s="24" t="str">
        <x:v>M067</x:v>
      </x:c>
      <x:c r="B71" s="24" t="str">
        <x:v>コロナ・デ・ラ・アルムデナ</x:v>
      </x:c>
      <x:c r="C71" s="24" t="str">
        <x:v>Corona de la Almudena</x:v>
      </x:c>
      <x:c r="D71" s="24" t="str">
        <x:v>地域の伝統・産品／発祥の断定ではない</x:v>
      </x:c>
      <x:c r="E71" s="24" t="n">
        <x:v>30</x:v>
      </x:c>
      <x:c r="F71" s="24" t="str">
        <x:v>コロナ・デ・ラ・アルムデナは、11月9日の祝祭に結び付く冠形の菓子パン。市の紹介では1980年代に生まれたものとされ、古都の名物にも比較的新しい菓子があることが分かる。1月のロスコン・デ・レジェスと似た輪形でも同じ菓子ではない。アルムデナ大聖堂の紹介と一緒に読むと、場所の名前と季節の菓子がつながる。</x:v>
      </x:c>
      <x:c r="G71" s="24" t="str">
        <x:v>El Riojanoの製造者提供レシピ</x:v>
      </x:c>
      <x:c r="H71" s="24" t="str">
        <x:v>11月9日前後</x:v>
      </x:c>
      <x:c r="I71" s="24" t="str"/>
      <x:c r="J71" s="24" t="n">
        <x:f>IF(I71="",0,LEN(I71)-LEN(SUBSTITUTE(I71,",",""))+1)</x:f>
        <x:v>0</x:v>
      </x:c>
      <x:c r="K71" s="24" t="str">
        <x:v>未確保</x:v>
      </x:c>
      <x:c r="L71" s="24" t="str">
        <x:v>S20, S02</x:v>
      </x:c>
      <x:c r="M71" s="24" t="str">
        <x:v>https://www.esmadrid.com/corona-almudena-madrid-receta-el-riojano
https://www.esmadrid.com/reposteria-tradicional</x:v>
      </x:c>
      <x:c r="N71" s="24" t="str"/>
      <x:c r="O71" s="24" t="str">
        <x:v>ロスコン・デ・レジェスとは別の祭り・菓子として説明。</x:v>
      </x:c>
      <x:c r="P71" s="24" t="str">
        <x:v>前回の情報を継承。今回の全記述再確認ではない。</x:v>
      </x:c>
    </x:row>
    <x:row r="72" ht="92" customHeight="1">
      <x:c r="A72" s="22" t="str">
        <x:v>M068</x:v>
      </x:c>
      <x:c r="B72" s="22" t="str">
        <x:v>ウエソス・デ・サント</x:v>
      </x:c>
      <x:c r="C72" s="22" t="str">
        <x:v>Huesos de santo</x:v>
      </x:c>
      <x:c r="D72" s="22" t="str">
        <x:v>マドリードで定番・店の名物</x:v>
      </x:c>
      <x:c r="E72" s="22" t="n">
        <x:v>31</x:v>
      </x:c>
      <x:c r="F72" s="22" t="str">
        <x:v>ウエソス・デ・サントは、筒状のマジパンに甘い詰め物を入れる菓子。「聖人の骨」という名前と白い筒の姿が結び付き、秋の菓子売り場を紹介する題材になる。細長い揚げ菓子のウエソス・デ・サン・エスペディートとは別物。名前にhuesosが付いていても、生地も作り方も同じではない。</x:v>
      </x:c>
      <x:c r="G72" s="22" t="str">
        <x:v>市観光局／El Riojanoの紹介</x:v>
      </x:c>
      <x:c r="H72" s="22" t="str">
        <x:v>11月1日前後</x:v>
      </x:c>
      <x:c r="I72" s="22" t="str">
        <x:v>P041</x:v>
      </x:c>
      <x:c r="J72" s="22" t="n">
        <x:f>IF(I72="",0,LEN(I72)-LEN(SUBSTITUTE(I72,",",""))+1)</x:f>
        <x:v>1</x:v>
      </x:c>
      <x:c r="K72" s="22" t="str">
        <x:v>候補あり</x:v>
      </x:c>
      <x:c r="L72" s="22" t="str">
        <x:v>S02</x:v>
      </x:c>
      <x:c r="M72" s="22" t="str">
        <x:v>https://www.esmadrid.com/reposteria-tradicional</x:v>
      </x:c>
      <x:c r="N72" s="22" t="str"/>
      <x:c r="O72" s="22" t="str">
        <x:v>P017は権利履歴の版照合待ち。写真差し替え・追加が必要。</x:v>
      </x:c>
      <x:c r="P72" s="22" t="str">
        <x:v>前回の情報を継承。今回の全記述再確認ではない。</x:v>
      </x:c>
    </x:row>
    <x:row r="73" ht="92" customHeight="1">
      <x:c r="A73" s="24" t="str">
        <x:v>M069</x:v>
      </x:c>
      <x:c r="B73" s="24" t="str">
        <x:v>ブニュエロス・デ・ビエント</x:v>
      </x:c>
      <x:c r="C73" s="24" t="str">
        <x:v>Buñuelos de viento</x:v>
      </x:c>
      <x:c r="D73" s="24" t="str">
        <x:v>マドリードで定番・店の名物</x:v>
      </x:c>
      <x:c r="E73" s="24" t="n">
        <x:v>32</x:v>
      </x:c>
      <x:c r="F73" s="24" t="str">
        <x:v>ブニュエロス・デ・ビエントは、丸く揚げた生地の菓子。クリームを入れるものもあり、La Mallorquinaが協力する市のレシピにも登場する。丸い外見だけで中身を決めず、詰め物の種類を見て選びたい。一つに割ると、外からは見えない生地とクリームの組合せが分かる。</x:v>
      </x:c>
      <x:c r="G73" s="24" t="str">
        <x:v>La Mallorquinaの製造者レシピ</x:v>
      </x:c>
      <x:c r="H73" s="24" t="str">
        <x:v>諸聖人の日の時期など</x:v>
      </x:c>
      <x:c r="I73" s="24" t="str">
        <x:v>P014</x:v>
      </x:c>
      <x:c r="J73" s="24" t="n">
        <x:f>IF(I73="",0,LEN(I73)-LEN(SUBSTITUTE(I73,",",""))+1)</x:f>
        <x:v>1</x:v>
      </x:c>
      <x:c r="K73" s="24" t="str">
        <x:v>候補あり</x:v>
      </x:c>
      <x:c r="L73" s="24" t="str">
        <x:v>S21, S02</x:v>
      </x:c>
      <x:c r="M73" s="24" t="str">
        <x:v>https://www.esmadrid.com/bu%C3%B1uelos-viento-madrid-la-mallorquina
https://www.esmadrid.com/reposteria-tradicional</x:v>
      </x:c>
      <x:c r="N73" s="24" t="str"/>
      <x:c r="O73" s="24" t="str">
        <x:v>P014は外側のみ。中身の味を断定しない。</x:v>
      </x:c>
      <x:c r="P73" s="24" t="str">
        <x:v>前回の情報を継承。今回の全記述再確認ではない。</x:v>
      </x:c>
    </x:row>
    <x:row r="74" ht="92" customHeight="1">
      <x:c r="A74" s="22" t="str">
        <x:v>M070</x:v>
      </x:c>
      <x:c r="B74" s="22" t="str">
        <x:v>バルキージョス</x:v>
      </x:c>
      <x:c r="C74" s="22" t="str">
        <x:v>Barquillos</x:v>
      </x:c>
      <x:c r="D74" s="22" t="str">
        <x:v>マドリードで定番・店の名物</x:v>
      </x:c>
      <x:c r="E74" s="22" t="n">
        <x:v>33</x:v>
      </x:c>
      <x:c r="F74" s="22" t="str">
        <x:v>バルキージョスは、薄い生地を巻いた筒状の焼き菓子。大きなクリーム菓子とは違う、軽い形の一品として選べる。マドリードの伝統菓子の紹介にも登場する。焼き菓子の形を見比べるなら、輪形、パイの層、筒形の違いに目を向けたい。</x:v>
      </x:c>
      <x:c r="G74" s="22" t="str">
        <x:v>市観光局／Madridの菓子売り場写真</x:v>
      </x:c>
      <x:c r="H74" s="22" t="str">
        <x:v>通年扱い・営業日は別途確認</x:v>
      </x:c>
      <x:c r="I74" s="22" t="str">
        <x:v>P007</x:v>
      </x:c>
      <x:c r="J74" s="22" t="n">
        <x:f>IF(I74="",0,LEN(I74)-LEN(SUBSTITUTE(I74,",",""))+1)</x:f>
        <x:v>1</x:v>
      </x:c>
      <x:c r="K74" s="22" t="str">
        <x:v>候補あり</x:v>
      </x:c>
      <x:c r="L74" s="22" t="str">
        <x:v>S02</x:v>
      </x:c>
      <x:c r="M74" s="22" t="str">
        <x:v>https://www.esmadrid.com/reposteria-tradicional</x:v>
      </x:c>
      <x:c r="N74" s="22" t="str"/>
      <x:c r="O74" s="22" t="str">
        <x:v>barquilleroの現在の営業場所や伝統の年代は別に調査。</x:v>
      </x:c>
      <x:c r="P74" s="22" t="str">
        <x:v>前回の情報を継承。今回の全記述再確認ではない。</x:v>
      </x:c>
    </x:row>
    <x:row r="75" ht="92" customHeight="1">
      <x:c r="A75" s="24" t="str">
        <x:v>M071</x:v>
      </x:c>
      <x:c r="B75" s="24" t="str">
        <x:v>ロスコン・デ・レジェス</x:v>
      </x:c>
      <x:c r="C75" s="24" t="str">
        <x:v>Roscón de Reyes</x:v>
      </x:c>
      <x:c r="D75" s="24" t="str">
        <x:v>全国・他地方由来／首都で食べる一品</x:v>
      </x:c>
      <x:c r="E75" s="24"/>
      <x:c r="F75" s="24" t="str">
        <x:v>公現祭の時期に食べる輪形のロスコン・デ・レジェス。冠形の菓子を11月のコロナと並べると、似た外見でも別の行事に結び付いていることが分かる。大きさや中のクリームは商品によって異なるため、人数と売り方を見て選びたい。</x:v>
      </x:c>
      <x:c r="G75" s="24" t="str">
        <x:v>市観光局／各製菓店</x:v>
      </x:c>
      <x:c r="H75" s="24" t="str">
        <x:v>1月6日前後</x:v>
      </x:c>
      <x:c r="I75" s="24" t="str"/>
      <x:c r="J75" s="24" t="n">
        <x:f>IF(I75="",0,LEN(I75)-LEN(SUBSTITUTE(I75,",",""))+1)</x:f>
        <x:v>0</x:v>
      </x:c>
      <x:c r="K75" s="24" t="str">
        <x:v>未確保</x:v>
      </x:c>
      <x:c r="L75" s="24" t="str">
        <x:v>S02, S32</x:v>
      </x:c>
      <x:c r="M75" s="24" t="str">
        <x:v>https://www.esmadrid.com/reposteria-tradicional
https://www.esmadrid.com/de/traditionelle-konditorei-madrid</x:v>
      </x:c>
      <x:c r="N75" s="24" t="str"/>
      <x:c r="O75" s="24" t="str">
        <x:v>詰め物と装飾は店による。</x:v>
      </x:c>
      <x:c r="P75" s="24" t="str">
        <x:v>前回の情報を継承。今回の全記述再確認ではない。</x:v>
      </x:c>
    </x:row>
    <x:row r="76" ht="92" customHeight="1">
      <x:c r="A76" s="22" t="str">
        <x:v>M072</x:v>
      </x:c>
      <x:c r="B76" s="22" t="str">
        <x:v>ナポリターナ</x:v>
      </x:c>
      <x:c r="C76" s="22" t="str">
        <x:v>Napolitanas</x:v>
      </x:c>
      <x:c r="D76" s="22" t="str">
        <x:v>マドリードで定番・店の名物</x:v>
      </x:c>
      <x:c r="E76" s="22" t="n">
        <x:v>34</x:v>
      </x:c>
      <x:c r="F76" s="22" t="str">
        <x:v>ナポリターナは、クリームやチョコレートなどを包む菓子パン。La Mallorquinaの公式商品一覧でも種類を探せる。ソル周辺で菓子店に入るなら、特別な祭礼を待たずに選べる日常の甘いものの候補だ。通販でのまとめ売り価格を店頭一個の価格と混同しないようにしたい。</x:v>
      </x:c>
      <x:c r="G76" s="22" t="str">
        <x:v>La Mallorquina</x:v>
      </x:c>
      <x:c r="H76" s="22" t="str">
        <x:v>通年扱い・営業日は別途確認</x:v>
      </x:c>
      <x:c r="I76" s="22" t="str">
        <x:v>P035</x:v>
      </x:c>
      <x:c r="J76" s="22" t="n">
        <x:f>IF(I76="",0,LEN(I76)-LEN(SUBSTITUTE(I76,",",""))+1)</x:f>
        <x:v>1</x:v>
      </x:c>
      <x:c r="K76" s="22" t="str">
        <x:v>候補あり</x:v>
      </x:c>
      <x:c r="L76" s="22" t="str">
        <x:v>S10, S39</x:v>
      </x:c>
      <x:c r="M76" s="22" t="str">
        <x:v>https://pastelerialamallorquina.es/bolleria/
https://pastelerialamallorquina.es/</x:v>
      </x:c>
      <x:c r="N76" s="22" t="str"/>
      <x:c r="O76" s="22" t="str">
        <x:v>店頭1個売りの実売価格とは別。味違いを複数品に数えない。</x:v>
      </x:c>
      <x:c r="P76" s="22" t="str">
        <x:v>前回の情報を継承。今回の全記述再確認ではない。</x:v>
      </x:c>
    </x:row>
    <x:row r="77" ht="92" customHeight="1">
      <x:c r="A77" s="24" t="str">
        <x:v>M073</x:v>
      </x:c>
      <x:c r="B77" s="24" t="str">
        <x:v>モラタのパルメリタス</x:v>
      </x:c>
      <x:c r="C77" s="24" t="str">
        <x:v>Palmeritas de Morata</x:v>
      </x:c>
      <x:c r="D77" s="24" t="str">
        <x:v>地域の伝統・産品／発祥の断定ではない</x:v>
      </x:c>
      <x:c r="E77" s="24" t="n">
        <x:v>35</x:v>
      </x:c>
      <x:c r="F77" s="24" t="str">
        <x:v>モラタ・デ・タフーニャで知られる、小さなパルミエ形のパイ菓子。専門の製造販売元もあり、マドリード市中心だけでなく州内の町に目を向ける候補になる。チョコレートなど、表面の仕上げが違う商品も選ぶ手がかりになる。「モラタの名物」と「市内の全菓子店で買えるもの」は別なので、販売先を確かめよう。</x:v>
      </x:c>
      <x:c r="G77" s="24" t="str">
        <x:v>La Palmerita de Morata／市観光局</x:v>
      </x:c>
      <x:c r="H77" s="24" t="str">
        <x:v>通年扱い・営業日は別途確認</x:v>
      </x:c>
      <x:c r="I77" s="24" t="str"/>
      <x:c r="J77" s="24" t="n">
        <x:f>IF(I77="",0,LEN(I77)-LEN(SUBSTITUTE(I77,",",""))+1)</x:f>
        <x:v>0</x:v>
      </x:c>
      <x:c r="K77" s="24" t="str">
        <x:v>未確保</x:v>
      </x:c>
      <x:c r="L77" s="24" t="str">
        <x:v>S38, S02, S32</x:v>
      </x:c>
      <x:c r="M77" s="24" t="str">
        <x:v>https://lapalmeritademorata.es/
https://www.esmadrid.com/reposteria-tradicional
https://www.esmadrid.com/de/traditionelle-konditorei-madrid</x:v>
      </x:c>
      <x:c r="N77" s="24" t="str"/>
      <x:c r="O77" s="24" t="str">
        <x:v>製造地と市内販売店を分けて記載。チョコ掛けなどは一品内で比較。</x:v>
      </x:c>
      <x:c r="P77" s="24" t="str">
        <x:v>前回の情報を継承。今回の全記述再確認ではない。</x:v>
      </x:c>
    </x:row>
    <x:row r="78" ht="92" customHeight="1">
      <x:c r="A78" s="22" t="str">
        <x:v>M074</x:v>
      </x:c>
      <x:c r="B78" s="22" t="str">
        <x:v>マノリートス</x:v>
      </x:c>
      <x:c r="C78" s="22" t="str">
        <x:v>Manolitos</x:v>
      </x:c>
      <x:c r="D78" s="22" t="str">
        <x:v>地域の伝統・産品／発祥の断定ではない</x:v>
      </x:c>
      <x:c r="E78" s="22"/>
      <x:c r="F78" s="22" t="str">
        <x:v>マノリートスは、小さなクロワッサンのブランド商品。昔から続く祭礼菓子だけでなく、現代の販売店で広がった甘いものもマドリードの食を構成している。一般的な料理名と商品名を分けて書き、他店の小さなクロワッサンまで同じブランド名で呼ばないようにしたい。</x:v>
      </x:c>
      <x:c r="G78" s="22" t="str">
        <x:v>市観光局の紹介／Pastelería Artesanal Manolo</x:v>
      </x:c>
      <x:c r="H78" s="22" t="str">
        <x:v>通年扱い・営業日は別途確認</x:v>
      </x:c>
      <x:c r="I78" s="22" t="str"/>
      <x:c r="J78" s="22" t="n">
        <x:f>IF(I78="",0,LEN(I78)-LEN(SUBSTITUTE(I78,",",""))+1)</x:f>
        <x:v>0</x:v>
      </x:c>
      <x:c r="K78" s="22" t="str">
        <x:v>未確保</x:v>
      </x:c>
      <x:c r="L78" s="22" t="str">
        <x:v>S02</x:v>
      </x:c>
      <x:c r="M78" s="22" t="str">
        <x:v>https://www.esmadrid.com/reposteria-tradicional</x:v>
      </x:c>
      <x:c r="N78" s="22" t="str"/>
      <x:c r="O78" s="22" t="str">
        <x:v>一般名ではなく商品・ブランドとして区別。似たミニクロワッサンの写真で代用しない。</x:v>
      </x:c>
      <x:c r="P78" s="22" t="str">
        <x:v>前回の情報を継承。今回の全記述再確認ではない。</x:v>
      </x:c>
    </x:row>
    <x:row r="79" ht="92" customHeight="1">
      <x:c r="A79" s="24" t="str">
        <x:v>M075</x:v>
      </x:c>
      <x:c r="B79" s="24" t="str">
        <x:v>スイソ</x:v>
      </x:c>
      <x:c r="C79" s="24" t="str">
        <x:v>Suizo</x:v>
      </x:c>
      <x:c r="D79" s="24" t="str">
        <x:v>マドリードで定番・店の名物</x:v>
      </x:c>
      <x:c r="E79" s="24"/>
      <x:c r="F79" s="24" t="str">
        <x:v>スイソは、La Mallorquinaの菓子パン一覧で探せる甘いパン。名前の由来の物語を先に決めるより、まず現物の形と商品説明を見て選ぶと分かりやすい。チョコレート入りのナポリターナとは別の、朝食やおやつの選択肢になる。</x:v>
      </x:c>
      <x:c r="G79" s="24" t="str">
        <x:v>La Mallorquina</x:v>
      </x:c>
      <x:c r="H79" s="24" t="str">
        <x:v>通年扱い・営業日は別途確認</x:v>
      </x:c>
      <x:c r="I79" s="24" t="str"/>
      <x:c r="J79" s="24" t="n">
        <x:f>IF(I79="",0,LEN(I79)-LEN(SUBSTITUTE(I79,",",""))+1)</x:f>
        <x:v>0</x:v>
      </x:c>
      <x:c r="K79" s="24" t="str">
        <x:v>未確保</x:v>
      </x:c>
      <x:c r="L79" s="24" t="str">
        <x:v>S10</x:v>
      </x:c>
      <x:c r="M79" s="24" t="str">
        <x:v>https://pastelerialamallorquina.es/bolleria/</x:v>
      </x:c>
      <x:c r="N79" s="24" t="str"/>
      <x:c r="O79" s="24" t="str">
        <x:v>Cafe Suizo由来の歴史は別途史料確認。名前から創業や発祥年を創作しない。</x:v>
      </x:c>
      <x:c r="P79" s="24" t="str">
        <x:v>前回の情報を継承。今回の全記述再確認ではない。</x:v>
      </x:c>
    </x:row>
    <x:row r="80" ht="92" customHeight="1">
      <x:c r="A80" s="22" t="str">
        <x:v>M076</x:v>
      </x:c>
      <x:c r="B80" s="22" t="str">
        <x:v>ペスティーニョス</x:v>
      </x:c>
      <x:c r="C80" s="22" t="str">
        <x:v>Pestiños</x:v>
      </x:c>
      <x:c r="D80" s="22" t="str">
        <x:v>全国・他地方由来／首都で食べる一品</x:v>
      </x:c>
      <x:c r="E80" s="22"/>
      <x:c r="F80" s="22" t="str">
        <x:v>ペスティーニョスは、生地を揚げて蜂蜜や砂糖で仕上げる菓子。クリームを包むバルトリージョとは、中身や形が異なる。スペインの他地域にもある菓子として、マドリードで見つかる伝統菓子の棚に加えたい。特定の時期の販売を通年と断定しないようにする。</x:v>
      </x:c>
      <x:c r="G80" s="22" t="str">
        <x:v>市観光局の伝統菓子紹介</x:v>
      </x:c>
      <x:c r="H80" s="22" t="str">
        <x:v>通年扱い・営業日は別途確認</x:v>
      </x:c>
      <x:c r="I80" s="22" t="str"/>
      <x:c r="J80" s="22" t="n">
        <x:f>IF(I80="",0,LEN(I80)-LEN(SUBSTITUTE(I80,",",""))+1)</x:f>
        <x:v>0</x:v>
      </x:c>
      <x:c r="K80" s="22" t="str">
        <x:v>未確保</x:v>
      </x:c>
      <x:c r="L80" s="22" t="str">
        <x:v>S02</x:v>
      </x:c>
      <x:c r="M80" s="22" t="str">
        <x:v>https://www.esmadrid.com/reposteria-tradicional</x:v>
      </x:c>
      <x:c r="N80" s="22" t="str"/>
      <x:c r="O80" s="22" t="str">
        <x:v>アラブ由来という通説を具体的年代まで断定しない。現行製造店と写真を追加。</x:v>
      </x:c>
      <x:c r="P80" s="22" t="str">
        <x:v>前回の情報を継承。今回の全記述再確認ではない。</x:v>
      </x:c>
    </x:row>
    <x:row r="81" ht="92" customHeight="1">
      <x:c r="A81" s="24" t="str">
        <x:v>M077</x:v>
      </x:c>
      <x:c r="B81" s="24" t="str">
        <x:v>トゥロン</x:v>
      </x:c>
      <x:c r="C81" s="24" t="str">
        <x:v>Turrón</x:v>
      </x:c>
      <x:c r="D81" s="24" t="str">
        <x:v>全国・他地方由来／首都で食べる一品</x:v>
      </x:c>
      <x:c r="E81" s="24"/>
      <x:c r="F81" s="24" t="str">
        <x:v>トゥロンは、硬いものや軟らかいものなど種類のある菓子。クリスマスの甘味を探すときの候補になる。マドリードの老舗で売られていても、菓子そのものを首都の発祥とは扱わない。材料や商品名が異なるものは一つの項目の中で比べたい。</x:v>
      </x:c>
      <x:c r="G81" s="24" t="str">
        <x:v>Casa Miraなどを市観光局が紹介</x:v>
      </x:c>
      <x:c r="H81" s="24" t="str">
        <x:v>特にクリスマス期</x:v>
      </x:c>
      <x:c r="I81" s="24" t="str"/>
      <x:c r="J81" s="24" t="n">
        <x:f>IF(I81="",0,LEN(I81)-LEN(SUBSTITUTE(I81,",",""))+1)</x:f>
        <x:v>0</x:v>
      </x:c>
      <x:c r="K81" s="24" t="str">
        <x:v>未確保</x:v>
      </x:c>
      <x:c r="L81" s="24" t="str">
        <x:v>S02</x:v>
      </x:c>
      <x:c r="M81" s="24" t="str">
        <x:v>https://www.esmadrid.com/reposteria-tradicional</x:v>
      </x:c>
      <x:c r="N81" s="24" t="str"/>
      <x:c r="O81" s="24" t="str">
        <x:v>原材料は種類別に確認。公式観光ページのCasa Mira創業年は他資料と照合するまで採用しない。</x:v>
      </x:c>
      <x:c r="P81" s="24" t="str">
        <x:v>前回の情報を継承。今回の全記述再確認ではない。</x:v>
      </x:c>
    </x:row>
    <x:row r="82" ht="92" customHeight="1">
      <x:c r="A82" s="22" t="str">
        <x:v>M078</x:v>
      </x:c>
      <x:c r="B82" s="22" t="str">
        <x:v>マサパン</x:v>
      </x:c>
      <x:c r="C82" s="22" t="str">
        <x:v>Mazapán</x:v>
      </x:c>
      <x:c r="D82" s="22" t="str">
        <x:v>全国・他地方由来／首都で食べる一品</x:v>
      </x:c>
      <x:c r="E82" s="22"/>
      <x:c r="F82" s="22" t="str">
        <x:v>マサパンはアーモンドを使う菓子。小さく成形したものを選べ、ウエソス・デ・サントに使われる生地ともつながる。クリスマスの菓子売り場では、形や詰め物を見て探したい。全国的な菓子と、店独自の製品は分けて紹介する。</x:v>
      </x:c>
      <x:c r="G82" s="22" t="str">
        <x:v>市観光局のクリスマス菓子紹介</x:v>
      </x:c>
      <x:c r="H82" s="22" t="str">
        <x:v>特にクリスマス期</x:v>
      </x:c>
      <x:c r="I82" s="22" t="str"/>
      <x:c r="J82" s="22" t="n">
        <x:f>IF(I82="",0,LEN(I82)-LEN(SUBSTITUTE(I82,",",""))+1)</x:f>
        <x:v>0</x:v>
      </x:c>
      <x:c r="K82" s="22" t="str">
        <x:v>未確保</x:v>
      </x:c>
      <x:c r="L82" s="22" t="str">
        <x:v>S02</x:v>
      </x:c>
      <x:c r="M82" s="22" t="str">
        <x:v>https://www.esmadrid.com/reposteria-tradicional</x:v>
      </x:c>
      <x:c r="N82" s="22" t="str"/>
      <x:c r="O82" s="22" t="str">
        <x:v>今回の市資料は品名中心。材料の配合・トレドとの関係・販売店を追加調査。</x:v>
      </x:c>
      <x:c r="P82" s="22" t="str">
        <x:v>前回の情報を継承。今回の全記述再確認ではない。</x:v>
      </x:c>
    </x:row>
    <x:row r="83" ht="92" customHeight="1">
      <x:c r="A83" s="24" t="str">
        <x:v>M079</x:v>
      </x:c>
      <x:c r="B83" s="24" t="str">
        <x:v>ポルボロネス</x:v>
      </x:c>
      <x:c r="C83" s="24" t="str">
        <x:v>Polvorones</x:v>
      </x:c>
      <x:c r="D83" s="24" t="str">
        <x:v>全国・他地方由来／首都で食べる一品</x:v>
      </x:c>
      <x:c r="E83" s="24"/>
      <x:c r="F83" s="24" t="str">
        <x:v>ポルボロネスは、クリスマスに食べる焼き菓子の候補。市の料理・菓子レシピ集にも登場する。味の感想を先に決めず、原材料と作り手の説明を見ながら、他の季節菓子との違いを選びたい。箱売りか一個売りかも確認しておこう。</x:v>
      </x:c>
      <x:c r="G83" s="24" t="str">
        <x:v>Antigua Pastelería del Pozoのレシピ入口</x:v>
      </x:c>
      <x:c r="H83" s="24" t="str">
        <x:v>特にクリスマス期</x:v>
      </x:c>
      <x:c r="I83" s="24" t="str"/>
      <x:c r="J83" s="24" t="n">
        <x:f>IF(I83="",0,LEN(I83)-LEN(SUBSTITUTE(I83,",",""))+1)</x:f>
        <x:v>0</x:v>
      </x:c>
      <x:c r="K83" s="24" t="str">
        <x:v>未確保</x:v>
      </x:c>
      <x:c r="L83" s="24" t="str">
        <x:v>S17, S02</x:v>
      </x:c>
      <x:c r="M83" s="24" t="str">
        <x:v>https://www.esmadrid.com/recetas-madrid
https://www.esmadrid.com/reposteria-tradicional</x:v>
      </x:c>
      <x:c r="N83" s="24" t="str"/>
      <x:c r="O83" s="24" t="str">
        <x:v>個別レシピの小麦粉・油脂・ナッツの配合は追加確認。</x:v>
      </x:c>
      <x:c r="P83" s="24" t="str">
        <x:v>前回の情報を継承。今回の全記述再確認ではない。</x:v>
      </x:c>
    </x:row>
    <x:row r="84" ht="92" customHeight="1">
      <x:c r="A84" s="22" t="str">
        <x:v>M080</x:v>
      </x:c>
      <x:c r="B84" s="22" t="str">
        <x:v>スミレのキャンディー</x:v>
      </x:c>
      <x:c r="C84" s="22" t="str">
        <x:v>Caramelos de violeta</x:v>
      </x:c>
      <x:c r="D84" s="22" t="str">
        <x:v>地域の伝統・産品／発祥の断定ではない</x:v>
      </x:c>
      <x:c r="E84" s="22" t="n">
        <x:v>36</x:v>
      </x:c>
      <x:c r="F84" s="22" t="str">
        <x:v>スミレをかたどったキャンディーは、マドリードの甘い土産を探す候補。La Mallorquinaなどの販売情報から商品を探せる。花の形を選ぶ楽しみがあり、焼き菓子とは違う甘い土産になる。スミレを使う飲み物や菓子があっても、すべて同じ老舗・製造者のものだとは考えないようにしたい。</x:v>
      </x:c>
      <x:c r="G84" s="22" t="str">
        <x:v>La Violeta／La Mallorquina</x:v>
      </x:c>
      <x:c r="H84" s="22" t="str">
        <x:v>通年扱い・営業日は別途確認</x:v>
      </x:c>
      <x:c r="I84" s="22" t="str"/>
      <x:c r="J84" s="22" t="n">
        <x:f>IF(I84="",0,LEN(I84)-LEN(SUBSTITUTE(I84,",",""))+1)</x:f>
        <x:v>0</x:v>
      </x:c>
      <x:c r="K84" s="22" t="str">
        <x:v>未確保</x:v>
      </x:c>
      <x:c r="L84" s="22" t="str">
        <x:v>S30, S39</x:v>
      </x:c>
      <x:c r="M84" s="22" t="str">
        <x:v>https://www.esmadrid.com/limonada-violetas-diego-cabrera-madrid
https://pastelerialamallorquina.es/</x:v>
      </x:c>
      <x:c r="N84" s="22" t="str"/>
      <x:c r="O84" s="22" t="str">
        <x:v>ブランド指定写真は包装や作者の権利を確認。香料の実配合はメーカー資料で確認。</x:v>
      </x:c>
      <x:c r="P84" s="22" t="str">
        <x:v>前回の情報を継承。今回の全記述再確認ではない。</x:v>
      </x:c>
    </x:row>
    <x:row r="85" ht="92" customHeight="1">
      <x:c r="A85" s="24" t="str">
        <x:v>M081</x:v>
      </x:c>
      <x:c r="B85" s="24" t="str">
        <x:v>チャティータス</x:v>
      </x:c>
      <x:c r="C85" s="24" t="str">
        <x:v>Chatitas</x:v>
      </x:c>
      <x:c r="D85" s="24" t="str">
        <x:v>地域の伝統・産品／発祥の断定ではない</x:v>
      </x:c>
      <x:c r="E85" s="24"/>
      <x:c r="F85" s="24" t="str">
        <x:v>チャティータスは、小さなスポンジ生地に甘い具を詰め、チョコレートで包む菓子。製造販売元の公式サイトと、市の菓子紹介が探す手がかりになる。古い祭礼菓子と現代の商品を区別しながら、マドリードの甘いものの幅を広げる候補だ。</x:v>
      </x:c>
      <x:c r="G85" s="24" t="str">
        <x:v>Animari／Chatitas</x:v>
      </x:c>
      <x:c r="H85" s="24" t="str">
        <x:v>通年扱い・営業日は別途確認</x:v>
      </x:c>
      <x:c r="I85" s="24" t="str"/>
      <x:c r="J85" s="24" t="n">
        <x:f>IF(I85="",0,LEN(I85)-LEN(SUBSTITUTE(I85,",",""))+1)</x:f>
        <x:v>0</x:v>
      </x:c>
      <x:c r="K85" s="24" t="str">
        <x:v>未確保</x:v>
      </x:c>
      <x:c r="L85" s="24" t="str">
        <x:v>S37, S02</x:v>
      </x:c>
      <x:c r="M85" s="24" t="str">
        <x:v>https://chatitas.es/
https://www.esmadrid.com/reposteria-tradicional</x:v>
      </x:c>
      <x:c r="N85" s="24" t="str"/>
      <x:c r="O85" s="24" t="str">
        <x:v>中身や被覆の違いを別々の品数に数えない。</x:v>
      </x:c>
      <x:c r="P85" s="24" t="str">
        <x:v>前回の情報を継承。今回の全記述再確認ではない。</x:v>
      </x:c>
    </x:row>
    <x:row r="86" ht="92" customHeight="1">
      <x:c r="A86" s="22" t="str">
        <x:v>M082</x:v>
      </x:c>
      <x:c r="B86" s="22" t="str">
        <x:v>アルカラのコストラーダ</x:v>
      </x:c>
      <x:c r="C86" s="22" t="str">
        <x:v>Costrada de Alcalá</x:v>
      </x:c>
      <x:c r="D86" s="22" t="str">
        <x:v>地域の伝統・産品／発祥の断定ではない</x:v>
      </x:c>
      <x:c r="E86" s="22" t="n">
        <x:v>37</x:v>
      </x:c>
      <x:c r="F86" s="22" t="str">
        <x:v>コストラーダはアルカラ・デ・エナレスの菓子として市公式が紹介する一品。パイ生地、カスタード、メレンゲを重ねる構成で、全体の外観より断面の方が内容を伝えやすい。大学や旧市街の散策と組み合わせると、近郊の町を菓子から知る入口になる。誕生した年と最初の店には異なる説明があるため、ここでは一つに断定しない。</x:v>
      </x:c>
      <x:c r="G86" s="22" t="str">
        <x:v>Alcalá市公式・地元菓子店を確認先にする。現行取扱店の特定は別。</x:v>
      </x:c>
      <x:c r="H86" s="22" t="str">
        <x:v>通年扱い・営業日は別途確認</x:v>
      </x:c>
      <x:c r="I86" s="22" t="str">
        <x:v>P042, P043</x:v>
      </x:c>
      <x:c r="J86" s="22" t="n">
        <x:f>IF(I86="",0,LEN(I86)-LEN(SUBSTITUTE(I86,",",""))+1)</x:f>
        <x:v>2</x:v>
      </x:c>
      <x:c r="K86" s="22" t="str">
        <x:v>候補あり</x:v>
      </x:c>
      <x:c r="L86" s="22" t="str">
        <x:v>S36, S56, S73, S74, S75</x:v>
      </x:c>
      <x:c r="M86" s="22" t="str">
        <x:v>https://elparaisodelosgolosos.blogspot.com/2023/07/costrada-de-alcala-de-henares.html
https://www.esmadrid.com/en/trips-alcala-henares
https://www.turismoalcala.es/gastronomia-restaurantes-alcala-de-henares/
https://bake-street.com/en/costrada-de-alcala-de-henares/
https://www.alcalahoy.es/2024/11/28/primer-concurso-de-la-costrada-patrimonio-gastronomico-de-alcala/</x:v>
      </x:c>
      <x:c r="N86" s="22" t="str">
        <x:v>市公式で地域性、作り手で層の構成を補強。起源年・発明店は異説があるので本文で断定しない。</x:v>
      </x:c>
      <x:c r="O86" s="22" t="str">
        <x:v>自作ブログは調理例の資料。起源の一次史料として扱わない。</x:v>
      </x:c>
      <x:c r="P86" s="22" t="str">
        <x:v>今回の更新点を確認。その他の継承事項は出典の確認範囲を参照。</x:v>
      </x:c>
    </x:row>
    <x:row r="87" ht="92" customHeight="1">
      <x:c r="A87" s="24" t="str">
        <x:v>M083</x:v>
      </x:c>
      <x:c r="B87" s="24" t="str">
        <x:v>ウエソス・デ・サン・エスペディート</x:v>
      </x:c>
      <x:c r="C87" s="24" t="str">
        <x:v>Huesos de San Expedito</x:v>
      </x:c>
      <x:c r="D87" s="24" t="str">
        <x:v>全国・他地方にもある季節菓子</x:v>
      </x:c>
      <x:c r="E87" s="24"/>
      <x:c r="F87" s="24" t="str">
        <x:v>ウエソス・デ・サン・エスペディートは、アニスなどを加えた生地を細長く成形し、揚げて粉糖をかける菓子。料理人Eva Arguiñanoのレシピでは、成形した生地に切れ目を入れる。マジパンのウエソス・デ・サントとは材料も工程も違い、マドリードだけの菓子でもない。</x:v>
      </x:c>
      <x:c r="G87" s="24" t="str">
        <x:v>料理写真の原典。販売店・製法は追加調査</x:v>
      </x:c>
      <x:c r="H87" s="24" t="str">
        <x:v>通年扱い・営業日は別途確認</x:v>
      </x:c>
      <x:c r="I87" s="24" t="str">
        <x:v>P030</x:v>
      </x:c>
      <x:c r="J87" s="24" t="n">
        <x:f>IF(I87="",0,LEN(I87)-LEN(SUBSTITUTE(I87,",",""))+1)</x:f>
        <x:v>1</x:v>
      </x:c>
      <x:c r="K87" s="24" t="str">
        <x:v>候補あり</x:v>
      </x:c>
      <x:c r="L87" s="24" t="str">
        <x:v>S02, S81</x:v>
      </x:c>
      <x:c r="M87" s="24" t="str">
        <x:v>https://www.esmadrid.com/reposteria-tradicional
https://www.hogarmania.com/cocina/recetas/postres/huesos-expedito-24561.html</x:v>
      </x:c>
      <x:c r="N87" s="24" t="str">
        <x:v>細長いアニス風味の揚げ菓子。マジパンのHuesos de santoと区別。現在のマドリード販売店は未確保。</x:v>
      </x:c>
      <x:c r="O87" s="24" t="str">
        <x:v>S02はMadrid菓子文化の背景のみ。本品の由来・配合は未確認。</x:v>
      </x:c>
      <x:c r="P87" s="24" t="str">
        <x:v>今回の更新点を確認。その他の継承事項は出典の確認範囲を参照。</x:v>
      </x:c>
    </x:row>
    <x:row r="88" ht="92" customHeight="1">
      <x:c r="A88" s="22" t="str">
        <x:v>M084</x:v>
      </x:c>
      <x:c r="B88" s="22" t="str">
        <x:v>ラルディのスフレ</x:v>
      </x:c>
      <x:c r="C88" s="22" t="str">
        <x:v>Soufflé de Lhardy</x:v>
      </x:c>
      <x:c r="D88" s="22" t="str">
        <x:v>マドリードで定番・店の名物</x:v>
      </x:c>
      <x:c r="E88" s="22"/>
      <x:c r="F88" s="22" t="str">
        <x:v>Lhardyがデザートに掲載するスフレ。店の名前を付けて紹介することで、一般的なスフレ全体の説明と区別できる。コシードなど大きな食事の後に選ぶ場合も、コースに含まれるか別注文かをメニューで確認したい。</x:v>
      </x:c>
      <x:c r="G88" s="22" t="str">
        <x:v>Lhardy</x:v>
      </x:c>
      <x:c r="H88" s="22" t="str">
        <x:v>通年扱い・営業日は別途確認</x:v>
      </x:c>
      <x:c r="I88" s="22" t="str"/>
      <x:c r="J88" s="22" t="n">
        <x:f>IF(I88="",0,LEN(I88)-LEN(SUBSTITUTE(I88,",",""))+1)</x:f>
        <x:v>0</x:v>
      </x:c>
      <x:c r="K88" s="22" t="str">
        <x:v>未確保</x:v>
      </x:c>
      <x:c r="L88" s="22" t="str">
        <x:v>S04</x:v>
      </x:c>
      <x:c r="M88" s="22" t="str">
        <x:v>https://lhardy.com/carta/</x:v>
      </x:c>
      <x:c r="N88" s="22" t="str"/>
      <x:c r="O88" s="22" t="str">
        <x:v>生地の材料やフランベ方法はメニューだけでは未確認。</x:v>
      </x:c>
      <x:c r="P88" s="22" t="str">
        <x:v>前回の情報を継承。今回の全記述再確認ではない。</x:v>
      </x:c>
    </x:row>
    <x:row r="89" ht="92" customHeight="1">
      <x:c r="A89" s="24" t="str">
        <x:v>M085</x:v>
      </x:c>
      <x:c r="B89" s="24" t="str">
        <x:v>イワシ形のチョコレート菓子</x:v>
      </x:c>
      <x:c r="C89" s="24" t="str">
        <x:v>Sardina de chocolate</x:v>
      </x:c>
      <x:c r="D89" s="24" t="str">
        <x:v>地域の伝統・産品／発祥の断定ではない</x:v>
      </x:c>
      <x:c r="E89" s="24" t="n">
        <x:v>38</x:v>
      </x:c>
      <x:c r="F89" s="24" t="str">
        <x:v>イワシ形のチョコレート菓子は、マドリードのカーニバルと結び付く甘味。市の2017年の発表で、公式デザートとして扱われたことを確認できる。魚の姿なのに甘い菓子、という外見だけでなく、古い祭りと新しく加わった菓子を分けて知ると面白い。発表当時の参加店が、現在も毎日販売するとは限らない。</x:v>
      </x:c>
      <x:c r="G89" s="24" t="str">
        <x:v>市観光局のカーニバル・伝統菓子紹介</x:v>
      </x:c>
      <x:c r="H89" s="24" t="str">
        <x:v>カーニバル期</x:v>
      </x:c>
      <x:c r="I89" s="24" t="str"/>
      <x:c r="J89" s="24" t="n">
        <x:f>IF(I89="",0,LEN(I89)-LEN(SUBSTITUTE(I89,",",""))+1)</x:f>
        <x:v>0</x:v>
      </x:c>
      <x:c r="K89" s="24" t="str">
        <x:v>未確保</x:v>
      </x:c>
      <x:c r="L89" s="24" t="str">
        <x:v>S02, S69</x:v>
      </x:c>
      <x:c r="M89" s="24" t="str">
        <x:v>https://www.esmadrid.com/reposteria-tradicional
https://diario.madrid.es/blog/notas-de-prensa/madrid-ya-tiene-postre-oficial-para-el-carnaval/</x:v>
      </x:c>
      <x:c r="N89" s="24" t="str"/>
      <x:c r="O89" s="24" t="str">
        <x:v>伝統的な行事と新しい公式菓子を混同し、何百年もの伝統菓子とは書かない。</x:v>
      </x:c>
      <x:c r="P89" s="24" t="str">
        <x:v>前回の情報を継承。今回の全記述再確認ではない。</x:v>
      </x:c>
    </x:row>
    <x:row r="90" ht="92" customHeight="1">
      <x:c r="A90" s="22" t="str">
        <x:v>M086</x:v>
      </x:c>
      <x:c r="B90" s="22" t="str">
        <x:v>カンポ・レアルのオリーブ</x:v>
      </x:c>
      <x:c r="C90" s="22" t="str">
        <x:v>Aceitunas de Campo Real</x:v>
      </x:c>
      <x:c r="D90" s="22" t="str">
        <x:v>地域の伝統・産品／発祥の断定ではない</x:v>
      </x:c>
      <x:c r="E90" s="22"/>
      <x:c r="F90" s="22" t="str">
        <x:v>カンポ・レアルのオリーブは、マドリード州が地域の品質表示を持つ食品として紹介する産品。市場で見かけるオリーブを、もう一歩産地までたどって選ぶ候補になる。ただし、市内市場のオリーブ写真というだけではカンポ・レアル産を証明できない。名称と販売表示を見たい。</x:v>
      </x:c>
      <x:c r="G90" s="22" t="str">
        <x:v>マドリード州の認証産品紹介</x:v>
      </x:c>
      <x:c r="H90" s="22" t="str">
        <x:v>通年扱い・営業日は別途確認</x:v>
      </x:c>
      <x:c r="I90" s="22" t="str"/>
      <x:c r="J90" s="22" t="n">
        <x:f>IF(I90="",0,LEN(I90)-LEN(SUBSTITUTE(I90,",",""))+1)</x:f>
        <x:v>0</x:v>
      </x:c>
      <x:c r="K90" s="22" t="str">
        <x:v>未確保</x:v>
      </x:c>
      <x:c r="L90" s="22" t="str">
        <x:v>S26</x:v>
      </x:c>
      <x:c r="M90" s="22" t="str">
        <x:v>https://www.comunidad.madrid/noticias/2026/03/03/comunidad-madrid-participa-13a-feria-internacional-aceite-oliva-productos-denominacion-origen-protegida</x:v>
      </x:c>
      <x:c r="N90" s="22" t="str"/>
      <x:c r="O90" s="22" t="str">
        <x:v>P021・P022は一般的なオリーブ写真で、本品の証明なし。専用写真が必要。</x:v>
      </x:c>
      <x:c r="P90" s="22" t="str">
        <x:v>前回の情報を継承。今回の全記述再確認ではない。</x:v>
      </x:c>
    </x:row>
    <x:row r="91" ht="92" customHeight="1">
      <x:c r="A91" s="24" t="str">
        <x:v>M087</x:v>
      </x:c>
      <x:c r="B91" s="24" t="str">
        <x:v>カンポ・レアルのチーズ</x:v>
      </x:c>
      <x:c r="C91" s="24" t="str">
        <x:v>Queso de Campo Real</x:v>
      </x:c>
      <x:c r="D91" s="24" t="str">
        <x:v>地域の伝統・産品／発祥の断定ではない</x:v>
      </x:c>
      <x:c r="E91" s="24"/>
      <x:c r="F91" s="24" t="str">
        <x:v>カンポ・レアルの製造者は、羊乳100%のものと混乳のものなど、異なるチーズを扱っている。スペインのチーズをすべてマンチェゴと呼ばず、製造者と使う乳の種類を見て選びたい。州内の製造場所が確認できる商品を選ぶことと、乳のすべての生産地を確定することは別である。</x:v>
      </x:c>
      <x:c r="G91" s="24" t="str">
        <x:v>Quesos Campo Real</x:v>
      </x:c>
      <x:c r="H91" s="24" t="str">
        <x:v>通年扱い・営業日は別途確認</x:v>
      </x:c>
      <x:c r="I91" s="24" t="str"/>
      <x:c r="J91" s="24" t="n">
        <x:f>IF(I91="",0,LEN(I91)-LEN(SUBSTITUTE(I91,",",""))+1)</x:f>
        <x:v>0</x:v>
      </x:c>
      <x:c r="K91" s="24" t="str">
        <x:v>未確保</x:v>
      </x:c>
      <x:c r="L91" s="24" t="str">
        <x:v>S34</x:v>
      </x:c>
      <x:c r="M91" s="24" t="str">
        <x:v>https://quesoscamporeal.com/</x:v>
      </x:c>
      <x:c r="N91" s="24" t="str"/>
      <x:c r="O91" s="24" t="str">
        <x:v>P020は市場の一般チーズ。Campo Real製と確認できず、本品の写真として使えない。</x:v>
      </x:c>
      <x:c r="P91" s="24" t="str">
        <x:v>前回の情報を継承。今回の全記述再確認ではない。</x:v>
      </x:c>
    </x:row>
    <x:row r="92" ht="92" customHeight="1">
      <x:c r="A92" s="22" t="str">
        <x:v>M088</x:v>
      </x:c>
      <x:c r="B92" s="22" t="str">
        <x:v>アランフェスのイチゴ類</x:v>
      </x:c>
      <x:c r="C92" s="22" t="str">
        <x:v>Fresas y fresones de Aranjuez</x:v>
      </x:c>
      <x:c r="D92" s="22" t="str">
        <x:v>地域の伝統・産品／発祥の断定ではない</x:v>
      </x:c>
      <x:c r="E92" s="22"/>
      <x:c r="F92" s="22" t="str">
        <x:v>アランフエスの生産者は、小さなfresaと大粒のfresónを区別して紹介している。同じ「イチゴ」でまとめず、どちらを買うかまで見たい。小さいfresaは栽培の手間や傷みやすさも生産者の課題になっており、単なる王宮土産ではなく菜園の作物として知ると土地との関係が見えてくる。販売場所だけで産地を決めず、その日の商品表示を確認しよう。</x:v>
      </x:c>
      <x:c r="G92" s="22" t="str">
        <x:v>州政府のグルメガイド</x:v>
      </x:c>
      <x:c r="H92" s="22" t="str">
        <x:v>季節品・具体的収穫期は追加確認</x:v>
      </x:c>
      <x:c r="I92" s="22" t="str"/>
      <x:c r="J92" s="22" t="n">
        <x:f>IF(I92="",0,LEN(I92)-LEN(SUBSTITUTE(I92,",",""))+1)</x:f>
        <x:v>0</x:v>
      </x:c>
      <x:c r="K92" s="22" t="str">
        <x:v>未確保</x:v>
      </x:c>
      <x:c r="L92" s="22" t="str">
        <x:v>S28, S76, S78</x:v>
      </x:c>
      <x:c r="M92" s="22" t="str">
        <x:v>https://www.comunidad.madrid/docs/assets/2024/10/07/aa_ff_guia_madrid-7-estrellas_es_en.pdf
https://www.fresasdearanjuez.es/
https://www.comunidad.madrid/noticias/2026/02/04/comunidad-madrid-incorporara-sellos-calidad-fresas-esparragos-aranjuez-ajo-fino-chinchon-miel-madrid</x:v>
      </x:c>
      <x:c r="N92" s="22" t="str">
        <x:v>小さいfresaとfresónを区別。アランフエス産かは実物ラベル・仕入先で確認。品質表示の計画発表を登録済みとしない。</x:v>
      </x:c>
      <x:c r="O92" s="22" t="str">
        <x:v>fresaとfresónの品種差、現行生産者、旬、市内販売場所を確認。</x:v>
      </x:c>
      <x:c r="P92" s="22" t="str">
        <x:v>今回の更新点を確認。その他の継承事項は出典の確認範囲を参照。</x:v>
      </x:c>
    </x:row>
    <x:row r="93" ht="92" customHeight="1">
      <x:c r="A93" s="24" t="str">
        <x:v>M089</x:v>
      </x:c>
      <x:c r="B93" s="24" t="str">
        <x:v>アランフェスのアスパラガス</x:v>
      </x:c>
      <x:c r="C93" s="24" t="str">
        <x:v>Espárragos de Aranjuez</x:v>
      </x:c>
      <x:c r="D93" s="24" t="str">
        <x:v>地域の伝統・産品／発祥の断定ではない</x:v>
      </x:c>
      <x:c r="E93" s="24"/>
      <x:c r="F93" s="24" t="str">
        <x:v>アランフエスの緑のアスパラガスは、Pericosという呼び名でも紹介される春の食材。地元生産者は蒸す、炭火や鉄板で焼く、卵料理に合わせるなどの食べ方を挙げている。王宮と庭園の見学に加えて周辺の菜園を見ると、観光地の景色と皿の材料がつながる。旬でも地元産の入荷は店ごとに確かめたい。</x:v>
      </x:c>
      <x:c r="G93" s="24" t="str">
        <x:v>州政府のグルメガイド</x:v>
      </x:c>
      <x:c r="H93" s="24" t="str">
        <x:v>季節品・具体的収穫期は追加確認</x:v>
      </x:c>
      <x:c r="I93" s="24" t="str"/>
      <x:c r="J93" s="24" t="n">
        <x:f>IF(I93="",0,LEN(I93)-LEN(SUBSTITUTE(I93,",",""))+1)</x:f>
        <x:v>0</x:v>
      </x:c>
      <x:c r="K93" s="24" t="str">
        <x:v>未確保</x:v>
      </x:c>
      <x:c r="L93" s="24" t="str">
        <x:v>S28, S77, S86, S78</x:v>
      </x:c>
      <x:c r="M93" s="24" t="str">
        <x:v>https://www.comunidad.madrid/docs/assets/2024/10/07/aa_ff_guia_madrid-7-estrellas_es_en.pdf
https://delahuertadearanjuez.es/esparrago-de-aranjuez/
https://www.esparragodearanjuez.es/
https://www.comunidad.madrid/noticias/2026/02/04/comunidad-madrid-incorporara-sellos-calidad-fresas-esparragos-aranjuez-ajo-fino-chinchon-miel-madrid</x:v>
      </x:c>
      <x:c r="N93" s="24" t="str">
        <x:v>緑のアスパラガス、Pericosの呼称、春の旬を現地生産者で確認。</x:v>
      </x:c>
      <x:c r="O93" s="24" t="str">
        <x:v>産地の証明がある写真が必要。一般的なグリーンアスパラ写真で代用しない。</x:v>
      </x:c>
      <x:c r="P93" s="24" t="str">
        <x:v>今回の更新点を確認。その他の継承事項は出典の確認範囲を参照。</x:v>
      </x:c>
    </x:row>
    <x:row r="94" ht="92" customHeight="1">
      <x:c r="A94" s="22" t="str">
        <x:v>M090</x:v>
      </x:c>
      <x:c r="B94" s="22" t="str">
        <x:v>マドリードのオリーブ油</x:v>
      </x:c>
      <x:c r="C94" s="22" t="str">
        <x:v>Aceite de Madrid DOP</x:v>
      </x:c>
      <x:c r="D94" s="22" t="str">
        <x:v>地域の伝統・産品／発祥の断定ではない</x:v>
      </x:c>
      <x:c r="E94" s="22"/>
      <x:c r="F94" s="22" t="str">
        <x:v>マドリード州のオリーブ油はDOP産品として州政府が紹介している。首都の食を肉料理や甘味だけでなく、料理を支える調味料から見る候補になる。マドリードで瓶詰め・販売される油をすべて同じ産地表示で扱わず、DOPの名称と商品の表示を確認して選びたい。</x:v>
      </x:c>
      <x:c r="G94" s="22" t="str">
        <x:v>マドリード州・認証生産者を追加調査</x:v>
      </x:c>
      <x:c r="H94" s="22" t="str">
        <x:v>通年扱い・営業日は別途確認</x:v>
      </x:c>
      <x:c r="I94" s="22" t="str"/>
      <x:c r="J94" s="22" t="n">
        <x:f>IF(I94="",0,LEN(I94)-LEN(SUBSTITUTE(I94,",",""))+1)</x:f>
        <x:v>0</x:v>
      </x:c>
      <x:c r="K94" s="22" t="str">
        <x:v>未確保</x:v>
      </x:c>
      <x:c r="L94" s="22" t="str">
        <x:v>S26</x:v>
      </x:c>
      <x:c r="M94" s="22" t="str">
        <x:v>https://www.comunidad.madrid/noticias/2026/03/03/comunidad-madrid-participa-13a-feria-internacional-aceite-oliva-productos-denominacion-origen-protegida</x:v>
      </x:c>
      <x:c r="N94" s="22" t="str"/>
      <x:c r="O94" s="22" t="str">
        <x:v>品種、地理的範囲、認証ロゴ使用条件は一次規則で追加確認。</x:v>
      </x:c>
      <x:c r="P94" s="22" t="str">
        <x:v>前回の情報を継承。今回の全記述再確認ではない。</x:v>
      </x:c>
    </x:row>
    <x:row r="95" ht="92" customHeight="1">
      <x:c r="A95" s="24" t="str">
        <x:v>M091</x:v>
      </x:c>
      <x:c r="B95" s="24" t="str">
        <x:v>マドリードの養蜂とハチミツ</x:v>
      </x:c>
      <x:c r="C95" s="24" t="str">
        <x:v>Miel de la Comunidad de Madrid</x:v>
      </x:c>
      <x:c r="D95" s="24" t="str">
        <x:v>州内の養蜂・販売者／採蜜地は商品別確認</x:v>
      </x:c>
      <x:c r="E95" s="24"/>
      <x:c r="F95" s="24" t="str">
        <x:v>マドリード州には養蜂・販売の事業者がいるが、所在地だけで蜂蜜の採蜜地は決まらない。たとえばCobeñaのAntonio Simónが扱うオーク蜂蜜には、スペインとポルトガルの蜂蜜という説明がある。「マドリードの会社で買う蜂蜜」と「州内で採れた蜂蜜」を分け、地元産を選ぶときは商品ごとの原産地を確かめたい。</x:v>
      </x:c>
      <x:c r="G95" s="24" t="str">
        <x:v>Antonio Simón（州内企業としての例。掲載商品を州内採蜜とはしない）</x:v>
      </x:c>
      <x:c r="H95" s="24" t="str">
        <x:v>通年扱い・営業日は別途確認</x:v>
      </x:c>
      <x:c r="I95" s="24" t="str"/>
      <x:c r="J95" s="24" t="n">
        <x:f>IF(I95="",0,LEN(I95)-LEN(SUBSTITUTE(I95,",",""))+1)</x:f>
        <x:v>0</x:v>
      </x:c>
      <x:c r="K95" s="24" t="str">
        <x:v>未確保</x:v>
      </x:c>
      <x:c r="L95" s="24" t="str">
        <x:v>S27, S79, S80, S78</x:v>
      </x:c>
      <x:c r="M95" s="24" t="str">
        <x:v>https://www.comunidad.madrid/docs/assets/2025/11/21/nota_informativa_diciembre_2025.pdf
https://miel-antoniosimon.com/producto/miel-ecologica-de-roble/
https://miel-antoniosimon.com/
https://www.comunidad.madrid/noticias/2026/02/04/comunidad-madrid-incorporara-sellos-calidad-fresas-esparragos-aranjuez-ajo-fino-chinchon-miel-madrid</x:v>
      </x:c>
      <x:c r="N95" s="24" t="str">
        <x:v>州内企業の商品でも採蜜地は別。Antonio Simónのオーク蜂蜜にはスペイン・ポルトガル表示。地域産の確証は商品別に必要。</x:v>
      </x:c>
      <x:c r="O95" s="24" t="str">
        <x:v>『Sierra産』『特定の花の蜜』は未確認。具体的商品・販売店・産地写真が必要。</x:v>
      </x:c>
      <x:c r="P95" s="24" t="str">
        <x:v>今回の更新点を確認。その他の継承事項は出典の確認範囲を参照。</x:v>
      </x:c>
    </x:row>
    <x:row r="96" ht="92" customHeight="1">
      <x:c r="A96" s="22" t="str">
        <x:v>M092</x:v>
      </x:c>
      <x:c r="B96" s="22" t="str">
        <x:v>チョコラテ・ア・ラ・タサ</x:v>
      </x:c>
      <x:c r="C96" s="22" t="str">
        <x:v>Chocolate a la taza</x:v>
      </x:c>
      <x:c r="D96" s="22" t="str">
        <x:v>マドリードで定番・店の名物</x:v>
      </x:c>
      <x:c r="E96" s="22"/>
      <x:c r="F96" s="22" t="str">
        <x:v>チョコラテ・ア・ラ・タサは、カップで提供する濃い温かいチョコレート。チュロスを浸して食べる相手でもある。菓子と飲み物を別項目にして紹介しているが、実際には一緒に注文する一組として考えられる。量や砂糖、材料は店の説明を見て選ぼう。</x:v>
      </x:c>
      <x:c r="G96" s="22" t="str">
        <x:v>Chocolatería San Ginés</x:v>
      </x:c>
      <x:c r="H96" s="22" t="str">
        <x:v>通年扱い・営業日は別途確認</x:v>
      </x:c>
      <x:c r="I96" s="22" t="str">
        <x:v>P026</x:v>
      </x:c>
      <x:c r="J96" s="22" t="n">
        <x:f>IF(I96="",0,LEN(I96)-LEN(SUBSTITUTE(I96,",",""))+1)</x:f>
        <x:v>1</x:v>
      </x:c>
      <x:c r="K96" s="22" t="str">
        <x:v>候補あり</x:v>
      </x:c>
      <x:c r="L96" s="22" t="str">
        <x:v>S22</x:v>
      </x:c>
      <x:c r="M96" s="22" t="str">
        <x:v>https://www.esmadrid.com/churros-con-chocolate-receta-san-gines-madrid</x:v>
      </x:c>
      <x:c r="N96" s="22" t="str"/>
      <x:c r="O96" s="22" t="str">
        <x:v>チュロスとのセット名を別の一品としてさらに加算しない。</x:v>
      </x:c>
      <x:c r="P96" s="22" t="str">
        <x:v>前回の情報を継承。今回の全記述再確認ではない。</x:v>
      </x:c>
    </x:row>
    <x:row r="97" ht="92" customHeight="1">
      <x:c r="A97" s="24" t="str">
        <x:v>M093</x:v>
      </x:c>
      <x:c r="B97" s="24" t="str">
        <x:v>レチェ・メレンガーダ</x:v>
      </x:c>
      <x:c r="C97" s="24" t="str">
        <x:v>Leche merengada</x:v>
      </x:c>
      <x:c r="D97" s="24" t="str">
        <x:v>マドリードで定番・店の名物</x:v>
      </x:c>
      <x:c r="E97" s="24"/>
      <x:c r="F97" s="24" t="str">
        <x:v>レチェ・メレンガーダは、牛乳にレモン皮やシナモンの香りを付け、メレンゲを合わせる甘い一品。冷たい飲み物にも凍ったデザートにもなるため、注文先でどの形を出すかを確認したい。チョコレートとは違う乳の甘味として、暑い時期の候補にできる。</x:v>
      </x:c>
      <x:c r="G97" s="24" t="str">
        <x:v>Miriam Garcíaの自作レシピ・現行店は追加調査</x:v>
      </x:c>
      <x:c r="H97" s="24" t="str">
        <x:v>通年扱い・営業日は別途確認</x:v>
      </x:c>
      <x:c r="I97" s="24" t="str"/>
      <x:c r="J97" s="24" t="n">
        <x:f>IF(I97="",0,LEN(I97)-LEN(SUBSTITUTE(I97,",",""))+1)</x:f>
        <x:v>0</x:v>
      </x:c>
      <x:c r="K97" s="24" t="str">
        <x:v>未確保</x:v>
      </x:c>
      <x:c r="L97" s="24" t="str">
        <x:v>S35</x:v>
      </x:c>
      <x:c r="M97" s="24" t="str">
        <x:v>https://invitadoinvierno.com/helado-de-leche-merengada/</x:v>
      </x:c>
      <x:c r="N97" s="24" t="str"/>
      <x:c r="O97" s="24" t="str">
        <x:v>記事は紹介に留め、生卵を使う古いレシピの安全性を保証しない。</x:v>
      </x:c>
      <x:c r="P97" s="24" t="str">
        <x:v>前回の情報を継承。今回の全記述再確認ではない。</x:v>
      </x:c>
    </x:row>
    <x:row r="98" ht="92" customHeight="1">
      <x:c r="A98" s="22" t="str">
        <x:v>M094</x:v>
      </x:c>
      <x:c r="B98" s="22" t="str">
        <x:v>カサ・ミンゴのシドラ</x:v>
      </x:c>
      <x:c r="C98" s="22" t="str">
        <x:v>Sidra de Casa Mingo</x:v>
      </x:c>
      <x:c r="D98" s="22" t="str">
        <x:v>マドリードで定番・店の名物</x:v>
      </x:c>
      <x:c r="E98" s="22"/>
      <x:c r="F98" s="22" t="str">
        <x:v>Casa Mingoの公式サイトでは、ローストチキンとシドラが店の名物として並ぶ。シドラを料理の横に添えることで、一軒の食事を組み立てやすい。ただしリンゴの飲み物というだけでソフトドリンクとは考えないこと。酒を飲まない場合は別の飲み物を選ぼう。</x:v>
      </x:c>
      <x:c r="G98" s="22" t="str">
        <x:v>Casa Mingo</x:v>
      </x:c>
      <x:c r="H98" s="22" t="str">
        <x:v>通年扱い・営業日は別途確認</x:v>
      </x:c>
      <x:c r="I98" s="22" t="str"/>
      <x:c r="J98" s="22" t="n">
        <x:f>IF(I98="",0,LEN(I98)-LEN(SUBSTITUTE(I98,",",""))+1)</x:f>
        <x:v>0</x:v>
      </x:c>
      <x:c r="K98" s="22" t="str">
        <x:v>未確保</x:v>
      </x:c>
      <x:c r="L98" s="22" t="str">
        <x:v>S08</x:v>
      </x:c>
      <x:c r="M98" s="22" t="str">
        <x:v>https://www.casamingo.es/</x:v>
      </x:c>
      <x:c r="N98" s="22" t="str"/>
      <x:c r="O98" s="22" t="str">
        <x:v>アルコールを含む飲料。アストゥリアスの文化との関係と製造場所は区別。</x:v>
      </x:c>
      <x:c r="P98" s="22" t="str">
        <x:v>前回の情報を継承。今回の全記述再確認ではない。</x:v>
      </x:c>
    </x:row>
    <x:row r="99" ht="92" customHeight="1">
      <x:c r="A99" s="24" t="str">
        <x:v>M095</x:v>
      </x:c>
      <x:c r="B99" s="24" t="str">
        <x:v>樽出しベルモット</x:v>
      </x:c>
      <x:c r="C99" s="24" t="str">
        <x:v>Vermut de grifo</x:v>
      </x:c>
      <x:c r="D99" s="24" t="str">
        <x:v>マドリードで定番・店の名物</x:v>
      </x:c>
      <x:c r="E99" s="24" t="n">
        <x:v>6</x:v>
      </x:c>
      <x:c r="F99" s="24" t="str">
        <x:v>樽から注ぐベルモットは、食前の一杯を選ぶ候補。Los Galayosや市場の販売情報にも樽出しの扱いが見られる。スペイン語ではvermut de grifoという表記が目印になる。「樽生」と呼んでも生ビールの一種ではなく、ベルモットという酒だ。タラの衣揚げや漬物の串と組み合わせる案があるが、飲酒は必須ではない。</x:v>
      </x:c>
      <x:c r="G99" s="24" t="str">
        <x:v>Los Galayos／San Miguel市場 La Hora del Vermut</x:v>
      </x:c>
      <x:c r="H99" s="24" t="str">
        <x:v>通年扱い・営業日は別途確認</x:v>
      </x:c>
      <x:c r="I99" s="24" t="str"/>
      <x:c r="J99" s="24" t="n">
        <x:f>IF(I99="",0,LEN(I99)-LEN(SUBSTITUTE(I99,",",""))+1)</x:f>
        <x:v>0</x:v>
      </x:c>
      <x:c r="K99" s="24" t="str">
        <x:v>未確保</x:v>
      </x:c>
      <x:c r="L99" s="24" t="str">
        <x:v>S25, S13, S40</x:v>
      </x:c>
      <x:c r="M99" s="24" t="str">
        <x:v>https://www.losgalayos.net/nuestro-menu
https://mercadodesanmiguel.es/puestos/
https://www.esmadrid.com/gastronomia-madrid</x:v>
      </x:c>
      <x:c r="N99" s="24" t="str"/>
      <x:c r="O99" s="24" t="str">
        <x:v>アルコール飲料。Madrid産とは限らない。</x:v>
      </x:c>
      <x:c r="P99" s="24" t="str">
        <x:v>前回の情報を継承。今回の全記述再確認ではない。</x:v>
      </x:c>
    </x:row>
    <x:row r="100" ht="92" customHeight="1">
      <x:c r="A100" s="22" t="str">
        <x:v>M096</x:v>
      </x:c>
      <x:c r="B100" s="22" t="str">
        <x:v>サン・イシドロのリモナーダ</x:v>
      </x:c>
      <x:c r="C100" s="22" t="str">
        <x:v>Limonada de San Isidro</x:v>
      </x:c>
      <x:c r="D100" s="22" t="str">
        <x:v>地域の伝統・産品／発祥の断定ではない</x:v>
      </x:c>
      <x:c r="E100" s="22"/>
      <x:c r="F100" s="22" t="str">
        <x:v>サン・イシドロのリモナーダは、祭りと結び付いた飲み物。名前がレモネードに似ていても、伝統的なものはワインを使うためノンアルコールとは限らない。スミレを使う現代のレシピと伝統形も分けて見たい。注文時はアルコールの有無を確認しよう。</x:v>
      </x:c>
      <x:c r="G100" s="22" t="str">
        <x:v>市観光局の祭り紹介・Viva Madridの派生レシピ</x:v>
      </x:c>
      <x:c r="H100" s="22" t="str">
        <x:v>5月のサン・イシドロ祭</x:v>
      </x:c>
      <x:c r="I100" s="22" t="str"/>
      <x:c r="J100" s="22" t="n">
        <x:f>IF(I100="",0,LEN(I100)-LEN(SUBSTITUTE(I100,",",""))+1)</x:f>
        <x:v>0</x:v>
      </x:c>
      <x:c r="K100" s="22" t="str">
        <x:v>未確保</x:v>
      </x:c>
      <x:c r="L100" s="22" t="str">
        <x:v>S29, S30</x:v>
      </x:c>
      <x:c r="M100" s="22" t="str">
        <x:v>https://www.esmadrid.com/en/whats-on/sanisidro-madrid
https://www.esmadrid.com/limonada-violetas-diego-cabrera-madrid</x:v>
      </x:c>
      <x:c r="N100" s="22" t="str"/>
      <x:c r="O100" s="22" t="str">
        <x:v>伝統のワイン入りとスミレ版などを区別。全てをノンアルコールと説明しない。</x:v>
      </x:c>
      <x:c r="P100" s="22" t="str">
        <x:v>前回の情報を継承。今回の全記述再確認ではない。</x:v>
      </x:c>
    </x:row>
    <x:row r="101" ht="92" customHeight="1">
      <x:c r="A101" s="24" t="str">
        <x:v>M097</x:v>
      </x:c>
      <x:c r="B101" s="24" t="str">
        <x:v>ジャジョ（ヤヨ）</x:v>
      </x:c>
      <x:c r="C101" s="24" t="str">
        <x:v>Yayo</x:v>
      </x:c>
      <x:c r="D101" s="24" t="str">
        <x:v>マドリードで定番・店の名物</x:v>
      </x:c>
      <x:c r="E101" s="24"/>
      <x:c r="F101" s="24" t="str">
        <x:v>ヤヨはCasa Camachoで知られる、ベルモット、ジン、ソーダを合わせる飲み物。現地取材の記事を手がかりに紹介できるが、現在の配合、価格、提供条件は店での再確認が必要だ。マドリードのすべての店で同じ内容が出る全国共通メニューとは扱わない。</x:v>
      </x:c>
      <x:c r="G101" s="24" t="str">
        <x:v>Casa Camacho（取材記事）</x:v>
      </x:c>
      <x:c r="H101" s="24" t="str">
        <x:v>通年扱い・営業日は別途確認</x:v>
      </x:c>
      <x:c r="I101" s="24" t="str"/>
      <x:c r="J101" s="24" t="n">
        <x:f>IF(I101="",0,LEN(I101)-LEN(SUBSTITUTE(I101,",",""))+1)</x:f>
        <x:v>0</x:v>
      </x:c>
      <x:c r="K101" s="24" t="str">
        <x:v>未確保</x:v>
      </x:c>
      <x:c r="L101" s="24" t="str">
        <x:v>S31</x:v>
      </x:c>
      <x:c r="M101" s="24" t="str">
        <x:v>https://www.ft.com/content/399510a2-85ee-48a2-9827-73c23a3ab3d8</x:v>
      </x:c>
      <x:c r="N101" s="24" t="str"/>
      <x:c r="O101" s="24" t="str">
        <x:v>アルコール入り。記事中の古い価格を現行価格として使わない。</x:v>
      </x:c>
      <x:c r="P101" s="24" t="str">
        <x:v>前回の情報を継承。今回の全記述再確認ではない。</x:v>
      </x:c>
    </x:row>
    <x:row r="102" ht="92" customHeight="1">
      <x:c r="A102" s="22" t="str">
        <x:v>M098</x:v>
      </x:c>
      <x:c r="B102" s="22" t="str">
        <x:v>マドリードのDOワイン</x:v>
      </x:c>
      <x:c r="C102" s="22" t="str">
        <x:v>Vinos de Madrid DO</x:v>
      </x:c>
      <x:c r="D102" s="22" t="str">
        <x:v>地域の伝統・産品／発祥の断定ではない</x:v>
      </x:c>
      <x:c r="E102" s="22" t="n">
        <x:v>39</x:v>
      </x:c>
      <x:c r="F102" s="22" t="str">
        <x:v>Vinos de Madridは、マドリードの原産地呼称を持つワイン。首都のレストランで飲むワインのすべてが、この産地のものではない。地元の一杯を選びたいなら、店の所在地よりラベルの名称を見るのが確実な入口になる。料理との組合せは好みによるため、飲酒しない人が無理に選ぶ必要はない。</x:v>
      </x:c>
      <x:c r="G102" s="22" t="str">
        <x:v>Casa Enriqueta／州政府の産品紹介</x:v>
      </x:c>
      <x:c r="H102" s="22" t="str">
        <x:v>通年扱い・営業日は別途確認</x:v>
      </x:c>
      <x:c r="I102" s="22" t="str"/>
      <x:c r="J102" s="22" t="n">
        <x:f>IF(I102="",0,LEN(I102)-LEN(SUBSTITUTE(I102,",",""))+1)</x:f>
        <x:v>0</x:v>
      </x:c>
      <x:c r="K102" s="22" t="str">
        <x:v>未確保</x:v>
      </x:c>
      <x:c r="L102" s="22" t="str">
        <x:v>S03, S26, S40</x:v>
      </x:c>
      <x:c r="M102" s="22" t="str">
        <x:v>https://gallinejasenriqueta.es/nuestra-carta-la-carta
https://www.comunidad.madrid/noticias/2026/03/03/comunidad-madrid-participa-13a-feria-internacional-aceite-oliva-productos-denominacion-origen-protegida
https://www.esmadrid.com/gastronomia-madrid</x:v>
      </x:c>
      <x:c r="N102" s="22" t="str"/>
      <x:c r="O102" s="22" t="str">
        <x:v>Casa del Abueloの自社ワインはToro産であり、本項の写真・例として流用しない。</x:v>
      </x:c>
      <x:c r="P102" s="22" t="str">
        <x:v>前回の情報を継承。今回の全記述再確認ではない。</x:v>
      </x:c>
    </x:row>
    <x:row r="103" ht="92" customHeight="1">
      <x:c r="A103" s="24" t="str">
        <x:v>M099</x:v>
      </x:c>
      <x:c r="B103" s="24" t="str">
        <x:v>チンチョンのアニス酒</x:v>
      </x:c>
      <x:c r="C103" s="24" t="str">
        <x:v>Anís de Chinchón</x:v>
      </x:c>
      <x:c r="D103" s="24" t="str">
        <x:v>地域の伝統・産品／発祥の断定ではない</x:v>
      </x:c>
      <x:c r="E103" s="24" t="n">
        <x:v>40</x:v>
      </x:c>
      <x:c r="F103" s="24" t="str">
        <x:v>チンチョンのアニス酒は、地名を伴う地理的表示で紹介される酒。近郊のチンチョンを訪れるなら、中央広場や周辺の店と合わせて土地の産品を知る候補になる。種類によって甘さやアルコール度数は異なるので、名前だけで同じものだと判断しないこと。車で訪れる場合は現地で飲まず、持ち帰りなど別の楽しみ方を選びたい。</x:v>
      </x:c>
      <x:c r="G103" s="24" t="str">
        <x:v>マドリード州の認証産品紹介</x:v>
      </x:c>
      <x:c r="H103" s="24" t="str">
        <x:v>通年扱い・営業日は別途確認</x:v>
      </x:c>
      <x:c r="I103" s="24" t="str"/>
      <x:c r="J103" s="24" t="n">
        <x:f>IF(I103="",0,LEN(I103)-LEN(SUBSTITUTE(I103,",",""))+1)</x:f>
        <x:v>0</x:v>
      </x:c>
      <x:c r="K103" s="24" t="str">
        <x:v>未確保</x:v>
      </x:c>
      <x:c r="L103" s="24" t="str">
        <x:v>S26, S58</x:v>
      </x:c>
      <x:c r="M103" s="24" t="str">
        <x:v>https://www.comunidad.madrid/noticias/2026/03/03/comunidad-madrid-participa-13a-feria-internacional-aceite-oliva-productos-denominacion-origen-protegida
https://www.esmadrid.com/en/chinchon</x:v>
      </x:c>
      <x:c r="N103" s="24" t="str"/>
      <x:c r="O103" s="24" t="str">
        <x:v>度数や甘口・辛口の区別は具体的メーカー資料を追加。</x:v>
      </x:c>
      <x:c r="P103" s="24" t="str">
        <x:v>前回の情報を継承。今回の全記述再確認ではない。</x:v>
      </x:c>
    </x:row>
    <x:row r="104" ht="92" customHeight="1">
      <x:c r="A104" s="22" t="str">
        <x:v>M100</x:v>
      </x:c>
      <x:c r="B104" s="22" t="str">
        <x:v>マドリードで造るクラフトビール</x:v>
      </x:c>
      <x:c r="C104" s="22" t="str">
        <x:v>Cerveza elaborada en Madrid</x:v>
      </x:c>
      <x:c r="D104" s="22" t="str">
        <x:v>地域の伝統・産品／発祥の断定ではない</x:v>
      </x:c>
      <x:c r="E104" s="22"/>
      <x:c r="F104" s="22" t="str">
        <x:v>La Caníbalは、公式サイトで自社醸造の複数のビールを紹介している。大きなブランドのビールだけでなく、首都で造るものを選ぶ候補になる。マドリードで売っているビールと、実際に市内で醸造したビールは別なので、製造者や醸造場所を見て選びたい。</x:v>
      </x:c>
      <x:c r="G104" s="22" t="str">
        <x:v>La Caníbal</x:v>
      </x:c>
      <x:c r="H104" s="22" t="str">
        <x:v>通年扱い・営業日は別途確認</x:v>
      </x:c>
      <x:c r="I104" s="22" t="str"/>
      <x:c r="J104" s="22" t="n">
        <x:f>IF(I104="",0,LEN(I104)-LEN(SUBSTITUTE(I104,",",""))+1)</x:f>
        <x:v>0</x:v>
      </x:c>
      <x:c r="K104" s="22" t="str">
        <x:v>未確保</x:v>
      </x:c>
      <x:c r="L104" s="22" t="str">
        <x:v>S14</x:v>
      </x:c>
      <x:c r="M104" s="22" t="str">
        <x:v>https://lacanibal.com/</x:v>
      </x:c>
      <x:c r="N104" s="22" t="str"/>
      <x:c r="O104" s="22" t="str">
        <x:v>IPA・ラガーなどを一つの紹介項目にまとめ、銘柄ごとの水増しをしない。</x:v>
      </x:c>
      <x:c r="P104" s="22" t="str">
        <x:v>前回の情報を継承。今回の全記述再確認ではない。</x:v>
      </x:c>
    </x:row>
    <x:row r="105">
      <x:c r="A105" s="6"/>
      <x:c r="B105" s="6"/>
      <x:c r="C105" s="6"/>
      <x:c r="D105" s="6"/>
      <x:c r="E105" s="6"/>
      <x:c r="F105" s="6"/>
      <x:c r="G105" s="6"/>
      <x:c r="H105" s="6"/>
      <x:c r="I105" s="6"/>
      <x:c r="J105" s="6"/>
      <x:c r="K105" s="6"/>
      <x:c r="L105" s="6"/>
      <x:c r="M105" s="6"/>
      <x:c r="N105" s="6"/>
      <x:c r="O105" s="6"/>
      <x:c r="P105" s="6"/>
    </x:row>
  </x:sheetData>
  <x:mergeCells>
    <x:mergeCell ref="A1:P1"/>
    <x:mergeCell ref="A2:P2"/>
  </x:mergeCells>
  <x:pageMargins left="0.7" right="0.7" top="0.75" bottom="0.75" header="0.3" footer="0.3"/>
  <x:tableParts count="1">
    <x:tablePart xmlns:r="http://schemas.openxmlformats.org/officeDocument/2006/relationships" r:id="R3c5b776836bd46e4"/>
  </x:tableParts>
</x:worksheet>
</file>

<file path=xl/worksheets/sheet3.xml><?xml version="1.0" encoding="utf-8"?>
<x:worksheet xmlns:x="http://schemas.openxmlformats.org/spreadsheetml/2006/main">
  <x:sheetFormatPr defaultRowHeight="15"/>
  <x:cols>
    <x:col min="1" max="1" width="9" hidden="0" customWidth="1"/>
    <x:col min="2" max="2" width="32" hidden="0" customWidth="1"/>
    <x:col min="3" max="3" width="27" hidden="0" customWidth="1"/>
    <x:col min="4" max="4" width="18" hidden="0" customWidth="1"/>
    <x:col min="5" max="5" width="22" hidden="0" customWidth="1"/>
    <x:col min="6" max="6" width="17" hidden="0" customWidth="1"/>
    <x:col min="7" max="7" width="24" hidden="0" customWidth="1"/>
    <x:col min="8" max="8" width="21" hidden="0" customWidth="1"/>
    <x:col min="9" max="9" width="22" hidden="0" customWidth="1"/>
    <x:col min="10" max="10" width="18" hidden="0" customWidth="1"/>
    <x:col min="11" max="11" width="36" hidden="0" customWidth="1"/>
    <x:col min="12" max="12" width="40" hidden="0" customWidth="1"/>
    <x:col min="13" max="13" width="40" hidden="0" customWidth="1"/>
    <x:col min="14" max="14" width="40" hidden="0" customWidth="1"/>
    <x:col min="15" max="15" width="40" hidden="0" customWidth="1"/>
    <x:col min="16" max="16" width="40" hidden="0" customWidth="1"/>
    <x:col min="17" max="17" width="37" hidden="0" customWidth="1"/>
    <x:col min="18" max="18" width="33" hidden="0" customWidth="1"/>
    <x:col min="19" max="19" width="15" hidden="0" customWidth="1"/>
    <x:col min="20" max="20" width="12" hidden="0" customWidth="1"/>
  </x:cols>
  <x:sheetData>
    <x:row r="1" ht="32" customHeight="1">
      <x:c r="A1" s="9" t="str">
        <x:v>写真台帳 52レコード</x:v>
      </x:c>
      <x:c r="B1" s="9"/>
      <x:c r="C1" s="9"/>
      <x:c r="D1" s="9"/>
      <x:c r="E1" s="9"/>
      <x:c r="F1" s="9"/>
      <x:c r="G1" s="9"/>
      <x:c r="H1" s="9"/>
      <x:c r="I1" s="9"/>
      <x:c r="J1" s="9"/>
      <x:c r="K1" s="9"/>
      <x:c r="L1" s="9"/>
      <x:c r="M1" s="9"/>
      <x:c r="N1" s="9"/>
      <x:c r="O1" s="9"/>
      <x:c r="P1" s="9"/>
      <x:c r="Q1" s="9"/>
      <x:c r="R1" s="9"/>
      <x:c r="S1" s="9"/>
      <x:c r="T1" s="9"/>
    </x:row>
    <x:row r="2" ht="32" customHeight="1">
      <x:c r="A2" s="13" t="str">
        <x:v>43件は条件付き使用候補。本文向け写真・一般補助・追補を含み、52品分ではありません。原画像は同梱していません。</x:v>
      </x:c>
      <x:c r="B2" s="13"/>
      <x:c r="C2" s="13"/>
      <x:c r="D2" s="13"/>
      <x:c r="E2" s="13"/>
      <x:c r="F2" s="13"/>
      <x:c r="G2" s="13"/>
      <x:c r="H2" s="13"/>
      <x:c r="I2" s="13"/>
      <x:c r="J2" s="13"/>
      <x:c r="K2" s="13"/>
      <x:c r="L2" s="13"/>
      <x:c r="M2" s="13"/>
      <x:c r="N2" s="13"/>
      <x:c r="O2" s="13"/>
      <x:c r="P2" s="13"/>
      <x:c r="Q2" s="13"/>
      <x:c r="R2" s="13"/>
      <x:c r="S2" s="13"/>
      <x:c r="T2" s="13"/>
    </x:row>
    <x:row r="3">
      <x:c r="A3" s="6"/>
      <x:c r="B3" s="6"/>
      <x:c r="C3" s="6"/>
      <x:c r="D3" s="6"/>
      <x:c r="E3" s="6"/>
      <x:c r="F3" s="6"/>
      <x:c r="G3" s="6"/>
      <x:c r="H3" s="6"/>
      <x:c r="I3" s="6"/>
      <x:c r="J3" s="6"/>
      <x:c r="K3" s="6"/>
      <x:c r="L3" s="6"/>
      <x:c r="M3" s="6"/>
      <x:c r="N3" s="6"/>
      <x:c r="O3" s="6"/>
      <x:c r="P3" s="6"/>
      <x:c r="Q3" s="6"/>
      <x:c r="R3" s="6"/>
      <x:c r="S3" s="6"/>
      <x:c r="T3" s="6"/>
    </x:row>
    <x:row r="4" ht="32" customHeight="1">
      <x:c r="A4" s="18" t="str">
        <x:v>ID</x:v>
      </x:c>
      <x:c r="B4" s="18" t="str">
        <x:v>被写体・題名</x:v>
      </x:c>
      <x:c r="C4" s="18" t="str">
        <x:v>採否</x:v>
      </x:c>
      <x:c r="D4" s="18" t="str">
        <x:v>対象料理ID</x:v>
      </x:c>
      <x:c r="E4" s="18" t="str">
        <x:v>用途</x:v>
      </x:c>
      <x:c r="F4" s="18" t="str">
        <x:v>目視</x:v>
      </x:c>
      <x:c r="G4" s="18" t="str">
        <x:v>作者</x:v>
      </x:c>
      <x:c r="H4" s="18" t="str">
        <x:v>ライセンス</x:v>
      </x:c>
      <x:c r="I4" s="18" t="str">
        <x:v>撮影日</x:v>
      </x:c>
      <x:c r="J4" s="18" t="str">
        <x:v>寸法</x:v>
      </x:c>
      <x:c r="K4" s="18" t="str">
        <x:v>現地性</x:v>
      </x:c>
      <x:c r="L4" s="18" t="str">
        <x:v>キャプション</x:v>
      </x:c>
      <x:c r="M4" s="18" t="str">
        <x:v>注意</x:v>
      </x:c>
      <x:c r="N4" s="18" t="str">
        <x:v>クレジット</x:v>
      </x:c>
      <x:c r="O4" s="18" t="str">
        <x:v>原典URL</x:v>
      </x:c>
      <x:c r="P4" s="18" t="str">
        <x:v>画像URL</x:v>
      </x:c>
      <x:c r="Q4" s="18" t="str">
        <x:v>ライセンスURL</x:v>
      </x:c>
      <x:c r="R4" s="18" t="str">
        <x:v>確認時点</x:v>
      </x:c>
      <x:c r="S4" s="18" t="str">
        <x:v>今回追加</x:v>
      </x:c>
      <x:c r="T4" s="18" t="str">
        <x:v>原画像保存</x:v>
      </x:c>
    </x:row>
    <x:row r="5" ht="92" customHeight="1">
      <x:c r="A5" s="24" t="str">
        <x:v>P001</x:v>
      </x:c>
      <x:c r="B5" s="24" t="str">
        <x:v>Carnes del cocido madrileño.jpg</x:v>
      </x:c>
      <x:c r="C5" s="24" t="str">
        <x:v>条件付き使用候補</x:v>
      </x:c>
      <x:c r="D5" s="24" t="str">
        <x:v>M001</x:v>
      </x:c>
      <x:c r="E5" s="24" t="str">
        <x:v>対象写真</x:v>
      </x:c>
      <x:c r="F5" s="24" t="str">
        <x:v>今回再確認済</x:v>
      </x:c>
      <x:c r="G5" s="24" t="str">
        <x:v>Javier Lastras (jlastras)</x:v>
      </x:c>
      <x:c r="H5" s="24" t="str">
        <x:v>CC BY 2.0</x:v>
      </x:c>
      <x:c r="I5" s="24" t="str">
        <x:v>2010-02-05</x:v>
      </x:c>
      <x:c r="J5" s="24" t="str">
        <x:v>1024×768</x:v>
      </x:c>
      <x:c r="K5" s="24" t="str">
        <x:v>Madrid（店名未確認）</x:v>
      </x:c>
      <x:c r="L5" s="24" t="str">
        <x:v>コシードの肉類を分けて盛った皿（2010年）。生の材料写真ではない。</x:v>
      </x:c>
      <x:c r="M5" s="24" t="str">
        <x:v>Flickr原典: https://www.flickr.com/photos/22662305@N04/4333801495</x:v>
      </x:c>
      <x:c r="N5" s="24" t="str">
        <x:v>Javier Lastras (jlastras) / CC BY 2.0 / Wikimedia Commons</x:v>
      </x:c>
      <x:c r="O5" s="24" t="str">
        <x:v>https://commons.wikimedia.org/wiki/File:Carnes_del_cocido_madrile%C3%B1o.jpg</x:v>
      </x:c>
      <x:c r="P5" s="24" t="str">
        <x:v>https://upload.wikimedia.org/wikipedia/commons/0/03/Carnes_del_cocido_madrile%C3%B1o.jpg</x:v>
      </x:c>
      <x:c r="Q5" s="24" t="str">
        <x:v>https://creativecommons.org/licenses/by/2.0/</x:v>
      </x:c>
      <x:c r="R5" s="24" t="str">
        <x:v>2026-09-28（原典と画像を再確認・新規追加ではない）</x:v>
      </x:c>
      <x:c r="S5" s="24" t="str">
        <x:v>継承／再確認</x:v>
      </x:c>
      <x:c r="T5" s="24" t="str">
        <x:v>未保存</x:v>
      </x:c>
    </x:row>
    <x:row r="6" ht="92" customHeight="1">
      <x:c r="A6" s="22" t="str">
        <x:v>P002</x:v>
      </x:c>
      <x:c r="B6" s="22" t="str">
        <x:v>Callos cociendose.jpg</x:v>
      </x:c>
      <x:c r="C6" s="22" t="str">
        <x:v>条件付き使用候補</x:v>
      </x:c>
      <x:c r="D6" s="22" t="str">
        <x:v>M002</x:v>
      </x:c>
      <x:c r="E6" s="22" t="str">
        <x:v>対象写真</x:v>
      </x:c>
      <x:c r="F6" s="22" t="str">
        <x:v>目視確認済</x:v>
      </x:c>
      <x:c r="G6" s="22" t="str">
        <x:v>Javier Lastras</x:v>
      </x:c>
      <x:c r="H6" s="22" t="str">
        <x:v>CC BY 2.0</x:v>
      </x:c>
      <x:c r="I6" s="22" t="str">
        <x:v>2010-01-02</x:v>
      </x:c>
      <x:c r="J6" s="22" t="str">
        <x:v>1024×683</x:v>
      </x:c>
      <x:c r="K6" s="22" t="str">
        <x:v>撮影店未確認</x:v>
      </x:c>
      <x:c r="L6" s="22" t="str">
        <x:v>赤い煮汁で煮ているカジョス。皿盛りではなく調理工程。</x:v>
      </x:c>
      <x:c r="M6" s="22" t="str">
        <x:v>Flickr原典: https://www.flickr.com/photos/22662305@N04/4260029628/</x:v>
      </x:c>
      <x:c r="N6" s="22" t="str">
        <x:v>Javier Lastras / CC BY 2.0 / Wikimedia Commons</x:v>
      </x:c>
      <x:c r="O6" s="22" t="str">
        <x:v>https://commons.wikimedia.org/wiki/File:Callos_cociendose.jpg</x:v>
      </x:c>
      <x:c r="P6" s="22" t="str">
        <x:v>https://upload.wikimedia.org/wikipedia/commons/c/cd/Callos_cociendose.jpg</x:v>
      </x:c>
      <x:c r="Q6" s="22" t="str">
        <x:v>https://creativecommons.org/licenses/by/2.0/</x:v>
      </x:c>
      <x:c r="R6" s="22" t="str">
        <x:v>2026-09-27（前回の判定を継承）</x:v>
      </x:c>
      <x:c r="S6" s="22" t="str">
        <x:v>継承／再確認</x:v>
      </x:c>
      <x:c r="T6" s="22" t="str">
        <x:v>未保存</x:v>
      </x:c>
    </x:row>
    <x:row r="7" ht="92" customHeight="1">
      <x:c r="A7" s="24" t="str">
        <x:v>P003</x:v>
      </x:c>
      <x:c r="B7" s="24" t="str">
        <x:v>Detalle Cocido Madrileño.jpg</x:v>
      </x:c>
      <x:c r="C7" s="24" t="str">
        <x:v>条件付き使用候補</x:v>
      </x:c>
      <x:c r="D7" s="24" t="str">
        <x:v>M001</x:v>
      </x:c>
      <x:c r="E7" s="24" t="str">
        <x:v>対象写真</x:v>
      </x:c>
      <x:c r="F7" s="24" t="str">
        <x:v>目視確認済</x:v>
      </x:c>
      <x:c r="G7" s="24" t="str">
        <x:v>Javier Lastras (jlastras)</x:v>
      </x:c>
      <x:c r="H7" s="24" t="str">
        <x:v>CC BY 2.0</x:v>
      </x:c>
      <x:c r="I7" s="24" t="str">
        <x:v>2008-12-02</x:v>
      </x:c>
      <x:c r="J7" s="24" t="str">
        <x:v>1024×768</x:v>
      </x:c>
      <x:c r="K7" s="24" t="str">
        <x:v>Restaurante Albahaca（都市未確認）</x:v>
      </x:c>
      <x:c r="L7" s="24" t="str">
        <x:v>ひよこ豆、キャベツ、肉類を盛ったコシードの皿。</x:v>
      </x:c>
      <x:c r="M7" s="24" t="str">
        <x:v>Flickr原典: https://www.flickr.com/photos/jlastras/3077335981/sizes/o/</x:v>
      </x:c>
      <x:c r="N7" s="24" t="str">
        <x:v>Javier Lastras (jlastras) / CC BY 2.0 / Wikimedia Commons</x:v>
      </x:c>
      <x:c r="O7" s="24" t="str">
        <x:v>https://commons.wikimedia.org/wiki/File:Detalle_Cocido_Madrile%C3%B1o.jpg</x:v>
      </x:c>
      <x:c r="P7" s="24" t="str">
        <x:v>https://upload.wikimedia.org/wikipedia/commons/9/91/Detalle_Cocido_Madrile%C3%B1o.jpg</x:v>
      </x:c>
      <x:c r="Q7" s="24" t="str">
        <x:v>https://creativecommons.org/licenses/by/2.0/</x:v>
      </x:c>
      <x:c r="R7" s="24" t="str">
        <x:v>2026-09-27（前回の判定を継承）</x:v>
      </x:c>
      <x:c r="S7" s="24" t="str">
        <x:v>継承／再確認</x:v>
      </x:c>
      <x:c r="T7" s="24" t="str">
        <x:v>未保存</x:v>
      </x:c>
    </x:row>
    <x:row r="8" ht="92" customHeight="1">
      <x:c r="A8" s="22" t="str">
        <x:v>P004</x:v>
      </x:c>
      <x:c r="B8" s="22" t="str">
        <x:v>Aguja de ternera-Madrid (Mallorquina).jpg</x:v>
      </x:c>
      <x:c r="C8" s="22" t="str">
        <x:v>条件付き使用候補</x:v>
      </x:c>
      <x:c r="D8" s="22" t="str">
        <x:v>M040</x:v>
      </x:c>
      <x:c r="E8" s="22" t="str">
        <x:v>対象写真</x:v>
      </x:c>
      <x:c r="F8" s="22" t="str">
        <x:v>目視確認済</x:v>
      </x:c>
      <x:c r="G8" s="22" t="str">
        <x:v>Tamorlan</x:v>
      </x:c>
      <x:c r="H8" s="22" t="str">
        <x:v>CC BY 3.0</x:v>
      </x:c>
      <x:c r="I8" s="22" t="str">
        <x:v>2009-09-05</x:v>
      </x:c>
      <x:c r="J8" s="22" t="str">
        <x:v>3888×2592</x:v>
      </x:c>
      <x:c r="K8" s="22" t="str">
        <x:v>La Mallorquina, Madrid</x:v>
      </x:c>
      <x:c r="L8" s="22" t="str">
        <x:v>La Mallorquinaのショーケースに並ぶアグハ・デ・テルネラ。</x:v>
      </x:c>
      <x:c r="M8" s="22" t="str">
        <x:v>古い店舗写真。2009年の記録として使う。少し明るさを整える余地あり。</x:v>
      </x:c>
      <x:c r="N8" s="22" t="str">
        <x:v>Tamorlan / CC BY 3.0 / Wikimedia Commons</x:v>
      </x:c>
      <x:c r="O8" s="22" t="str">
        <x:v>https://commons.wikimedia.org/wiki/File:Aguja_de_ternera-Madrid_%28Mallorquina%29.jpg</x:v>
      </x:c>
      <x:c r="P8" s="22" t="str">
        <x:v>https://upload.wikimedia.org/wikipedia/commons/e/e7/Aguja_de_ternera-Madrid_%28Mallorquina%29.jpg</x:v>
      </x:c>
      <x:c r="Q8" s="22" t="str">
        <x:v>https://creativecommons.org/licenses/by/3.0/</x:v>
      </x:c>
      <x:c r="R8" s="22" t="str">
        <x:v>2026-09-27（前回の判定を継承）</x:v>
      </x:c>
      <x:c r="S8" s="22" t="str">
        <x:v>継承／再確認</x:v>
      </x:c>
      <x:c r="T8" s="22" t="str">
        <x:v>未保存</x:v>
      </x:c>
    </x:row>
    <x:row r="9" ht="92" customHeight="1">
      <x:c r="A9" s="24" t="str">
        <x:v>P005</x:v>
      </x:c>
      <x:c r="B9" s="24" t="str">
        <x:v>Bacalao Rebozado - Madrid.jpg</x:v>
      </x:c>
      <x:c r="C9" s="24" t="str">
        <x:v>条件付き使用候補</x:v>
      </x:c>
      <x:c r="D9" s="24" t="str">
        <x:v>M012</x:v>
      </x:c>
      <x:c r="E9" s="24" t="str">
        <x:v>対象写真</x:v>
      </x:c>
      <x:c r="F9" s="24" t="str">
        <x:v>目視確認済</x:v>
      </x:c>
      <x:c r="G9" s="24" t="str">
        <x:v>Tamorlan／色調整 Diádoco</x:v>
      </x:c>
      <x:c r="H9" s="24" t="str">
        <x:v>CC BY 3.0</x:v>
      </x:c>
      <x:c r="I9" s="24" t="str">
        <x:v>2009-06-21</x:v>
      </x:c>
      <x:c r="J9" s="24" t="str">
        <x:v>3888×2592</x:v>
      </x:c>
      <x:c r="K9" s="24" t="str">
        <x:v>Madrid（店名未確認）</x:v>
      </x:c>
      <x:c r="L9" s="24" t="str">
        <x:v>白い皿に積まれたタラの衣揚げ。</x:v>
      </x:c>
      <x:c r="M9" s="24" t="str">
        <x:v>原典は赤ピーマンがない点を説明。Casa Labraの品／ソルダディートスと断定しない。</x:v>
      </x:c>
      <x:c r="N9" s="24" t="str">
        <x:v>Tamorlan／色調整 Diádoco / CC BY 3.0 / Wikimedia Commons</x:v>
      </x:c>
      <x:c r="O9" s="24" t="str">
        <x:v>https://commons.wikimedia.org/wiki/File:Bacalao_Rebozado_-_Madrid.jpg</x:v>
      </x:c>
      <x:c r="P9" s="24" t="str">
        <x:v>https://upload.wikimedia.org/wikipedia/commons/7/7b/Bacalao_Rebozado_-_Madrid.jpg</x:v>
      </x:c>
      <x:c r="Q9" s="24" t="str">
        <x:v>https://creativecommons.org/licenses/by/3.0/</x:v>
      </x:c>
      <x:c r="R9" s="24" t="str">
        <x:v>2026-09-27（前回の判定を継承）</x:v>
      </x:c>
      <x:c r="S9" s="24" t="str">
        <x:v>継承／再確認</x:v>
      </x:c>
      <x:c r="T9" s="24" t="str">
        <x:v>未保存</x:v>
      </x:c>
    </x:row>
    <x:row r="10" ht="92" customHeight="1">
      <x:c r="A10" s="22" t="str">
        <x:v>P006</x:v>
      </x:c>
      <x:c r="B10" s="22" t="str">
        <x:v>Banderillas de encurtidos.jpg</x:v>
      </x:c>
      <x:c r="C10" s="22" t="str">
        <x:v>条件付き使用候補</x:v>
      </x:c>
      <x:c r="D10" s="22" t="str">
        <x:v>M028</x:v>
      </x:c>
      <x:c r="E10" s="22" t="str">
        <x:v>対象写真</x:v>
      </x:c>
      <x:c r="F10" s="22" t="str">
        <x:v>目視確認済</x:v>
      </x:c>
      <x:c r="G10" s="22" t="str">
        <x:v>Tamorlan／調整 Takeaway</x:v>
      </x:c>
      <x:c r="H10" s="22" t="str">
        <x:v>CC BY-SA 3.0</x:v>
      </x:c>
      <x:c r="I10" s="22" t="str">
        <x:v>未確定</x:v>
      </x:c>
      <x:c r="J10" s="22" t="str">
        <x:v>3888×2592</x:v>
      </x:c>
      <x:c r="K10" s="22" t="str">
        <x:v>詳細未確認</x:v>
      </x:c>
      <x:c r="L10" s="22" t="str">
        <x:v>オリーブ、ペピニージョ、小タマネギなどを串に刺したバンデリージャ。</x:v>
      </x:c>
      <x:c r="M10" s="22" t="str">
        <x:v>現行版は光量・コントラスト・彩度の変更あり。加工版を使う際もBY-SA表記。</x:v>
      </x:c>
      <x:c r="N10" s="22" t="str">
        <x:v>Tamorlan／調整 Takeaway / CC BY-SA 3.0 / Wikimedia Commons</x:v>
      </x:c>
      <x:c r="O10" s="22" t="str">
        <x:v>https://commons.wikimedia.org/wiki/File:Banderillas_de_encurtidos.jpg</x:v>
      </x:c>
      <x:c r="P10" s="22" t="str">
        <x:v>https://upload.wikimedia.org/wikipedia/commons/1/13/Banderillas_de_encurtidos.jpg</x:v>
      </x:c>
      <x:c r="Q10" s="22" t="str">
        <x:v>https://creativecommons.org/licenses/by-sa/3.0/</x:v>
      </x:c>
      <x:c r="R10" s="22" t="str">
        <x:v>2026-09-27（前回の判定を継承）</x:v>
      </x:c>
      <x:c r="S10" s="22" t="str">
        <x:v>継承／再確認</x:v>
      </x:c>
      <x:c r="T10" s="22" t="str">
        <x:v>未保存</x:v>
      </x:c>
    </x:row>
    <x:row r="11" ht="92" customHeight="1">
      <x:c r="A11" s="24" t="str">
        <x:v>P007</x:v>
      </x:c>
      <x:c r="B11" s="24" t="str">
        <x:v>Barquillos de Madrid.JPG</x:v>
      </x:c>
      <x:c r="C11" s="24" t="str">
        <x:v>条件付き使用候補</x:v>
      </x:c>
      <x:c r="D11" s="24" t="str">
        <x:v>M070</x:v>
      </x:c>
      <x:c r="E11" s="24" t="str">
        <x:v>対象写真</x:v>
      </x:c>
      <x:c r="F11" s="24" t="str">
        <x:v>目視確認済</x:v>
      </x:c>
      <x:c r="G11" s="24" t="str">
        <x:v>Tamorlan</x:v>
      </x:c>
      <x:c r="H11" s="24" t="str">
        <x:v>CC BY-SA 3.0</x:v>
      </x:c>
      <x:c r="I11" s="24" t="str">
        <x:v>2012-03-04</x:v>
      </x:c>
      <x:c r="J11" s="24" t="str">
        <x:v>3888×2592</x:v>
      </x:c>
      <x:c r="K11" s="24" t="str">
        <x:v>Madrid（店名未確認）</x:v>
      </x:c>
      <x:c r="L11" s="24" t="str">
        <x:v>長い筒状のバルキージョが陳列された菓子店のトレー。</x:v>
      </x:c>
      <x:c r="M11" s="24" t="str">
        <x:v>写真内の値札は現在価格に使わない。</x:v>
      </x:c>
      <x:c r="N11" s="24" t="str">
        <x:v>Tamorlan / CC BY-SA 3.0 / Wikimedia Commons</x:v>
      </x:c>
      <x:c r="O11" s="24" t="str">
        <x:v>https://commons.wikimedia.org/wiki/File:Barquillos_de_Madrid.JPG</x:v>
      </x:c>
      <x:c r="P11" s="24" t="str">
        <x:v>https://upload.wikimedia.org/wikipedia/commons/9/9f/Barquillos_de_Madrid.JPG</x:v>
      </x:c>
      <x:c r="Q11" s="24" t="str">
        <x:v>https://creativecommons.org/licenses/by-sa/3.0/</x:v>
      </x:c>
      <x:c r="R11" s="24" t="str">
        <x:v>2026-09-27（前回の判定を継承）</x:v>
      </x:c>
      <x:c r="S11" s="24" t="str">
        <x:v>継承／再確認</x:v>
      </x:c>
      <x:c r="T11" s="24" t="str">
        <x:v>未保存</x:v>
      </x:c>
    </x:row>
    <x:row r="12" ht="92" customHeight="1">
      <x:c r="A12" s="22" t="str">
        <x:v>P008</x:v>
      </x:c>
      <x:c r="B12" s="22" t="str">
        <x:v>Boquerones en vinagre-Madrid.jpg</x:v>
      </x:c>
      <x:c r="C12" s="22" t="str">
        <x:v>条件付き使用候補</x:v>
      </x:c>
      <x:c r="D12" s="22" t="str">
        <x:v>M026</x:v>
      </x:c>
      <x:c r="E12" s="22" t="str">
        <x:v>対象写真</x:v>
      </x:c>
      <x:c r="F12" s="22" t="str">
        <x:v>今回再確認済</x:v>
      </x:c>
      <x:c r="G12" s="22" t="str">
        <x:v>Tamorlan</x:v>
      </x:c>
      <x:c r="H12" s="22" t="str">
        <x:v>CC BY 3.0</x:v>
      </x:c>
      <x:c r="I12" s="22" t="str">
        <x:v>未確定</x:v>
      </x:c>
      <x:c r="J12" s="22" t="str">
        <x:v>3888×2592</x:v>
      </x:c>
      <x:c r="K12" s="22" t="str">
        <x:v>原題にMadrid。店名とGPSによる独立確認はしていない。</x:v>
      </x:c>
      <x:c r="L12" s="22" t="str">
        <x:v>容器に並んだボケロネス・エン・ビナグレ。カタクチイワシ類の酢漬け。2009年の記録写真。</x:v>
      </x:c>
      <x:c r="M12" s="22" t="str">
        <x:v>撮影日未記載。2009年アップロード。暗さと色かぶりは軽微調整可。</x:v>
      </x:c>
      <x:c r="N12" s="22" t="str">
        <x:v>Tamorlan / CC BY 3.0 / Wikimedia Commons</x:v>
      </x:c>
      <x:c r="O12" s="22" t="str">
        <x:v>https://commons.wikimedia.org/wiki/File:Boquerones_en_vinagre-Madrid.jpg</x:v>
      </x:c>
      <x:c r="P12" s="22" t="str">
        <x:v>https://upload.wikimedia.org/wikipedia/commons/5/50/Boquerones_en_vinagre-Madrid.jpg</x:v>
      </x:c>
      <x:c r="Q12" s="22" t="str">
        <x:v>https://creativecommons.org/licenses/by/3.0/</x:v>
      </x:c>
      <x:c r="R12" s="22" t="str">
        <x:v>2026-09-28（原典と画像を再確認・新規追加ではない）</x:v>
      </x:c>
      <x:c r="S12" s="22" t="str">
        <x:v>継承／再確認</x:v>
      </x:c>
      <x:c r="T12" s="22" t="str">
        <x:v>未保存</x:v>
      </x:c>
    </x:row>
    <x:row r="13" ht="92" customHeight="1">
      <x:c r="A13" s="24" t="str">
        <x:v>P009</x:v>
      </x:c>
      <x:c r="B13" s="24" t="str">
        <x:v>Champiñones al ajillo (Madrid).jpg</x:v>
      </x:c>
      <x:c r="C13" s="24" t="str">
        <x:v>条件付き使用候補</x:v>
      </x:c>
      <x:c r="D13" s="24" t="str">
        <x:v>M025</x:v>
      </x:c>
      <x:c r="E13" s="24" t="str">
        <x:v>対象写真</x:v>
      </x:c>
      <x:c r="F13" s="24" t="str">
        <x:v>目視確認済</x:v>
      </x:c>
      <x:c r="G13" s="24" t="str">
        <x:v>Tamorlan</x:v>
      </x:c>
      <x:c r="H13" s="24" t="str">
        <x:v>CC BY 3.0</x:v>
      </x:c>
      <x:c r="I13" s="24" t="str">
        <x:v>未確定</x:v>
      </x:c>
      <x:c r="J13" s="24" t="str">
        <x:v>3888×2592</x:v>
      </x:c>
      <x:c r="K13" s="24" t="str">
        <x:v>Madrid（店名未確認）</x:v>
      </x:c>
      <x:c r="L13" s="24" t="str">
        <x:v>ニンニクと調理したスライスマッシュルーム。</x:v>
      </x:c>
      <x:c r="M13" s="24" t="str">
        <x:v>撮影日未記載。2010年アップロード。黄色・緑の色かぶり調整候補。</x:v>
      </x:c>
      <x:c r="N13" s="24" t="str">
        <x:v>Tamorlan / CC BY 3.0 / Wikimedia Commons</x:v>
      </x:c>
      <x:c r="O13" s="24" t="str">
        <x:v>https://commons.wikimedia.org/wiki/File:Champi%C3%B1ones_al_ajillo_%28Madrid%29.jpg</x:v>
      </x:c>
      <x:c r="P13" s="24" t="str">
        <x:v>https://upload.wikimedia.org/wikipedia/commons/f/f3/Champi%C3%B1ones_al_ajillo_%28Madrid%29.jpg</x:v>
      </x:c>
      <x:c r="Q13" s="24" t="str">
        <x:v>https://creativecommons.org/licenses/by/3.0/</x:v>
      </x:c>
      <x:c r="R13" s="24" t="str">
        <x:v>2026-09-27（前回の判定を継承）</x:v>
      </x:c>
      <x:c r="S13" s="24" t="str">
        <x:v>継承／再確認</x:v>
      </x:c>
      <x:c r="T13" s="24" t="str">
        <x:v>未保存</x:v>
      </x:c>
    </x:row>
    <x:row r="14" ht="92" customHeight="1">
      <x:c r="A14" s="22" t="str">
        <x:v>P010</x:v>
      </x:c>
      <x:c r="B14" s="22" t="str">
        <x:v>Gallina en Pepitoria (Ciriaco).JPG</x:v>
      </x:c>
      <x:c r="C14" s="22" t="str">
        <x:v>条件付き使用候補</x:v>
      </x:c>
      <x:c r="D14" s="22" t="str">
        <x:v>M010</x:v>
      </x:c>
      <x:c r="E14" s="22" t="str">
        <x:v>対象写真</x:v>
      </x:c>
      <x:c r="F14" s="22" t="str">
        <x:v>目視確認済</x:v>
      </x:c>
      <x:c r="G14" s="22" t="str">
        <x:v>Tamorlan</x:v>
      </x:c>
      <x:c r="H14" s="22" t="str">
        <x:v>CC BY-SA 3.0</x:v>
      </x:c>
      <x:c r="I14" s="22" t="str">
        <x:v>2012-01-29</x:v>
      </x:c>
      <x:c r="J14" s="22" t="str">
        <x:v>2592×1936</x:v>
      </x:c>
      <x:c r="K14" s="22" t="str">
        <x:v>Casa Ciriaco, Madrid</x:v>
      </x:c>
      <x:c r="L14" s="22" t="str">
        <x:v>Casa Ciriacoで撮影されたガジーナ・エン・ペピトリア。</x:v>
      </x:c>
      <x:c r="M14" s="22" t="str">
        <x:v>店名・位置を原典で確認。現在の盛り付けと同一とは限らない。</x:v>
      </x:c>
      <x:c r="N14" s="22" t="str">
        <x:v>Tamorlan / CC BY-SA 3.0 / Wikimedia Commons</x:v>
      </x:c>
      <x:c r="O14" s="22" t="str">
        <x:v>https://commons.wikimedia.org/wiki/File:Gallina_en_Pepitoria_%28Ciriaco%29.JPG</x:v>
      </x:c>
      <x:c r="P14" s="22" t="str">
        <x:v>https://upload.wikimedia.org/wikipedia/commons/2/20/Gallina_en_Pepitoria_%28Ciriaco%29.JPG</x:v>
      </x:c>
      <x:c r="Q14" s="22" t="str">
        <x:v>https://creativecommons.org/licenses/by-sa/3.0/</x:v>
      </x:c>
      <x:c r="R14" s="22" t="str">
        <x:v>2026-09-27（前回の判定を継承）</x:v>
      </x:c>
      <x:c r="S14" s="22" t="str">
        <x:v>継承／再確認</x:v>
      </x:c>
      <x:c r="T14" s="22" t="str">
        <x:v>未保存</x:v>
      </x:c>
    </x:row>
    <x:row r="15" ht="92" customHeight="1">
      <x:c r="A15" s="24" t="str">
        <x:v>P011</x:v>
      </x:c>
      <x:c r="B15" s="24" t="str">
        <x:v>Huevos rotos con jamón.jpg</x:v>
      </x:c>
      <x:c r="C15" s="24" t="str">
        <x:v>条件付き使用候補</x:v>
      </x:c>
      <x:c r="D15" s="24" t="str">
        <x:v>M015</x:v>
      </x:c>
      <x:c r="E15" s="24" t="str">
        <x:v>対象写真</x:v>
      </x:c>
      <x:c r="F15" s="24" t="str">
        <x:v>目視確認済</x:v>
      </x:c>
      <x:c r="G15" s="24" t="str">
        <x:v>Javier Lastras (jlastras)</x:v>
      </x:c>
      <x:c r="H15" s="24" t="str">
        <x:v>CC BY 2.0</x:v>
      </x:c>
      <x:c r="I15" s="24" t="str">
        <x:v>未確定</x:v>
      </x:c>
      <x:c r="J15" s="24" t="str">
        <x:v>1024×768</x:v>
      </x:c>
      <x:c r="K15" s="24" t="str">
        <x:v>詳細未確認</x:v>
      </x:c>
      <x:c r="L15" s="24" t="str">
        <x:v>フライドポテトとハモンの上で卵を崩したウエボス・ロトス。</x:v>
      </x:c>
      <x:c r="M15" s="24" t="str">
        <x:v>Flickr原典: https://www.flickr.com/photos/22662305@N04/2682778232。店名は未確認。</x:v>
      </x:c>
      <x:c r="N15" s="24" t="str">
        <x:v>Javier Lastras (jlastras) / CC BY 2.0 / Wikimedia Commons</x:v>
      </x:c>
      <x:c r="O15" s="24" t="str">
        <x:v>https://commons.wikimedia.org/wiki/File:Huevos_rotos_con_jam%C3%B3n.jpg</x:v>
      </x:c>
      <x:c r="P15" s="24" t="str">
        <x:v>https://upload.wikimedia.org/wikipedia/commons/6/6f/Huevos_rotos_con_jam%C3%B3n.jpg</x:v>
      </x:c>
      <x:c r="Q15" s="24" t="str">
        <x:v>https://creativecommons.org/licenses/by/2.0/</x:v>
      </x:c>
      <x:c r="R15" s="24" t="str">
        <x:v>2026-09-27（前回の判定を継承）</x:v>
      </x:c>
      <x:c r="S15" s="24" t="str">
        <x:v>継承／再確認</x:v>
      </x:c>
      <x:c r="T15" s="24" t="str">
        <x:v>未保存</x:v>
      </x:c>
    </x:row>
    <x:row r="16" ht="92" customHeight="1">
      <x:c r="A16" s="22" t="str">
        <x:v>P012</x:v>
      </x:c>
      <x:c r="B16" s="22" t="str">
        <x:v>Bocata de calamares con salsa brava (Madrid).jpg</x:v>
      </x:c>
      <x:c r="C16" s="22" t="str">
        <x:v>条件付き使用候補</x:v>
      </x:c>
      <x:c r="D16" s="22" t="str">
        <x:v>M011</x:v>
      </x:c>
      <x:c r="E16" s="22" t="str">
        <x:v>対象写真</x:v>
      </x:c>
      <x:c r="F16" s="22" t="str">
        <x:v>目視確認済</x:v>
      </x:c>
      <x:c r="G16" s="22" t="str">
        <x:v>Cecilia (Velcro.)</x:v>
      </x:c>
      <x:c r="H16" s="22" t="str">
        <x:v>CC BY 2.0</x:v>
      </x:c>
      <x:c r="I16" s="22" t="str">
        <x:v>2009-06-06</x:v>
      </x:c>
      <x:c r="J16" s="22" t="str">
        <x:v>4416×3312</x:v>
      </x:c>
      <x:c r="K16" s="22" t="str">
        <x:v>Madrid・店名未確認</x:v>
      </x:c>
      <x:c r="L16" s="22" t="str">
        <x:v>イカフライとブラバソースを挟んだパン。</x:v>
      </x:c>
      <x:c r="M16" s="22" t="str">
        <x:v>Flickr原典: https://www.flickr.com/photos/7666989@N04/3623295060/ 。全てのイカサンドにこのソースが入るわけではない。</x:v>
      </x:c>
      <x:c r="N16" s="22" t="str">
        <x:v>Cecilia (Velcro.) / CC BY 2.0 / Wikimedia Commons</x:v>
      </x:c>
      <x:c r="O16" s="22" t="str">
        <x:v>https://commons.wikimedia.org/wiki/File:Bocata_de_calamares_con_salsa_brava_%28Madrid%29.jpg</x:v>
      </x:c>
      <x:c r="P16" s="22" t="str">
        <x:v>https://upload.wikimedia.org/wikipedia/commons/3/35/Bocata_de_calamares_con_salsa_brava_%28Madrid%29.jpg</x:v>
      </x:c>
      <x:c r="Q16" s="22" t="str">
        <x:v>https://creativecommons.org/licenses/by/2.0/</x:v>
      </x:c>
      <x:c r="R16" s="22" t="str">
        <x:v>2026-09-27（前回の判定を継承）</x:v>
      </x:c>
      <x:c r="S16" s="22" t="str">
        <x:v>継承／再確認</x:v>
      </x:c>
      <x:c r="T16" s="22" t="str">
        <x:v>未保存</x:v>
      </x:c>
    </x:row>
    <x:row r="17" ht="92" customHeight="1">
      <x:c r="A17" s="24" t="str">
        <x:v>P013</x:v>
      </x:c>
      <x:c r="B17" s="24" t="str">
        <x:v>Caracoles Madrileña - 2011.JPG</x:v>
      </x:c>
      <x:c r="C17" s="24" t="str">
        <x:v>条件付き使用候補</x:v>
      </x:c>
      <x:c r="D17" s="24" t="str">
        <x:v>M009</x:v>
      </x:c>
      <x:c r="E17" s="24" t="str">
        <x:v>対象写真</x:v>
      </x:c>
      <x:c r="F17" s="24" t="str">
        <x:v>目視確認済</x:v>
      </x:c>
      <x:c r="G17" s="24" t="str">
        <x:v>Tamorlan</x:v>
      </x:c>
      <x:c r="H17" s="24" t="str">
        <x:v>CC BY 3.0</x:v>
      </x:c>
      <x:c r="I17" s="24" t="str">
        <x:v>未確定</x:v>
      </x:c>
      <x:c r="J17" s="24" t="str">
        <x:v>3888×2592</x:v>
      </x:c>
      <x:c r="K17" s="24" t="str">
        <x:v>店名・撮影地の詳細未確認</x:v>
      </x:c>
      <x:c r="L17" s="24" t="str">
        <x:v>大きな金属鍋に入った殻付きカタツムリの煮込み。</x:v>
      </x:c>
      <x:c r="M17" s="24" t="str">
        <x:v>2011年アップロード。現在の販売状況の証拠にはしない。</x:v>
      </x:c>
      <x:c r="N17" s="24" t="str">
        <x:v>Tamorlan / CC BY 3.0 / Wikimedia Commons</x:v>
      </x:c>
      <x:c r="O17" s="24" t="str">
        <x:v>https://commons.wikimedia.org/wiki/File:Caracoles_Madrile%C3%B1a_-_2011.JPG</x:v>
      </x:c>
      <x:c r="P17" s="24" t="str">
        <x:v>https://upload.wikimedia.org/wikipedia/commons/4/4a/Caracoles_Madrile%C3%B1a_-_2011.JPG</x:v>
      </x:c>
      <x:c r="Q17" s="24" t="str">
        <x:v>https://creativecommons.org/licenses/by/3.0/</x:v>
      </x:c>
      <x:c r="R17" s="24" t="str">
        <x:v>2026-09-27（前回の判定を継承）</x:v>
      </x:c>
      <x:c r="S17" s="24" t="str">
        <x:v>継承／再確認</x:v>
      </x:c>
      <x:c r="T17" s="24" t="str">
        <x:v>未保存</x:v>
      </x:c>
    </x:row>
    <x:row r="18" ht="92" customHeight="1">
      <x:c r="A18" s="22" t="str">
        <x:v>P014</x:v>
      </x:c>
      <x:c r="B18" s="22" t="str">
        <x:v>Buñuelos de Madrid.jpg</x:v>
      </x:c>
      <x:c r="C18" s="22" t="str">
        <x:v>条件付き使用候補</x:v>
      </x:c>
      <x:c r="D18" s="22" t="str">
        <x:v>M069</x:v>
      </x:c>
      <x:c r="E18" s="22" t="str">
        <x:v>対象写真</x:v>
      </x:c>
      <x:c r="F18" s="22" t="str">
        <x:v>目視確認済</x:v>
      </x:c>
      <x:c r="G18" s="22" t="str">
        <x:v>Tamorlan</x:v>
      </x:c>
      <x:c r="H18" s="22" t="str">
        <x:v>CC BY 3.0</x:v>
      </x:c>
      <x:c r="I18" s="22" t="str">
        <x:v>未確定</x:v>
      </x:c>
      <x:c r="J18" s="22" t="str">
        <x:v>3888×2592</x:v>
      </x:c>
      <x:c r="K18" s="22" t="str">
        <x:v>Madrid・店名未確認</x:v>
      </x:c>
      <x:c r="L18" s="22" t="str">
        <x:v>粉砂糖をかけた丸いブニュエロス。</x:v>
      </x:c>
      <x:c r="M18" s="22" t="str">
        <x:v>2009年アップロード。写真だけでは中身のクリームは特定できない。</x:v>
      </x:c>
      <x:c r="N18" s="22" t="str">
        <x:v>Tamorlan / CC BY 3.0 / Wikimedia Commons</x:v>
      </x:c>
      <x:c r="O18" s="22" t="str">
        <x:v>https://commons.wikimedia.org/wiki/File:Bu%C3%B1uelos_de_Madrid.jpg</x:v>
      </x:c>
      <x:c r="P18" s="22" t="str">
        <x:v>https://upload.wikimedia.org/wikipedia/commons/2/2c/Bu%C3%B1uelos_de_Madrid.jpg</x:v>
      </x:c>
      <x:c r="Q18" s="22" t="str">
        <x:v>https://creativecommons.org/licenses/by/3.0/</x:v>
      </x:c>
      <x:c r="R18" s="22" t="str">
        <x:v>2026-09-27（前回の判定を継承）</x:v>
      </x:c>
      <x:c r="S18" s="22" t="str">
        <x:v>継承／再確認</x:v>
      </x:c>
      <x:c r="T18" s="22" t="str">
        <x:v>未保存</x:v>
      </x:c>
    </x:row>
    <x:row r="19" ht="92" customHeight="1">
      <x:c r="A19" s="24" t="str">
        <x:v>P015</x:v>
      </x:c>
      <x:c r="B19" s="24" t="str">
        <x:v>Cochinillo asado-Madrid.jpg</x:v>
      </x:c>
      <x:c r="C19" s="24" t="str">
        <x:v>目視待ち</x:v>
      </x:c>
      <x:c r="D19" s="24" t="str"/>
      <x:c r="E19" s="24" t="str">
        <x:v>名所・背景／参考</x:v>
      </x:c>
      <x:c r="F19" s="24" t="str">
        <x:v>未確認（画像取得失敗）</x:v>
      </x:c>
      <x:c r="G19" s="24" t="str">
        <x:v>Tamorlan</x:v>
      </x:c>
      <x:c r="H19" s="24" t="str">
        <x:v>CC BY 3.0</x:v>
      </x:c>
      <x:c r="I19" s="24" t="str">
        <x:v>未確定</x:v>
      </x:c>
      <x:c r="J19" s="24" t="str">
        <x:v>3888×2592</x:v>
      </x:c>
      <x:c r="K19" s="24" t="str">
        <x:v>Madrid・店名未確認</x:v>
      </x:c>
      <x:c r="L19" s="24" t="str">
        <x:v>仔豚のロースト（原典の説明による）。</x:v>
      </x:c>
      <x:c r="M19" s="24" t="str">
        <x:v>原典は食卓の各皿を注釈。画像取得が失敗しており構図の採用判断は保留。</x:v>
      </x:c>
      <x:c r="N19" s="24" t="str">
        <x:v>Tamorlan / CC BY 3.0 / Wikimedia Commons</x:v>
      </x:c>
      <x:c r="O19" s="24" t="str">
        <x:v>https://commons.wikimedia.org/wiki/File:Cochinillo_asado-Madrid.jpg</x:v>
      </x:c>
      <x:c r="P19" s="24" t="str">
        <x:v>https://upload.wikimedia.org/wikipedia/commons/0/07/Cochinillo_asado-Madrid.jpg</x:v>
      </x:c>
      <x:c r="Q19" s="24" t="str">
        <x:v>https://creativecommons.org/licenses/by/3.0/</x:v>
      </x:c>
      <x:c r="R19" s="24" t="str">
        <x:v>2026-09-27（前回の判定を継承）</x:v>
      </x:c>
      <x:c r="S19" s="24" t="str">
        <x:v>継承／再確認</x:v>
      </x:c>
      <x:c r="T19" s="24" t="str">
        <x:v>未保存</x:v>
      </x:c>
    </x:row>
    <x:row r="20" ht="92" customHeight="1">
      <x:c r="A20" s="22" t="str">
        <x:v>P016</x:v>
      </x:c>
      <x:c r="B20" s="22" t="str">
        <x:v>Gambas a la gabardina-2009.jpg</x:v>
      </x:c>
      <x:c r="C20" s="22" t="str">
        <x:v>条件付き使用候補</x:v>
      </x:c>
      <x:c r="D20" s="22" t="str">
        <x:v>M052</x:v>
      </x:c>
      <x:c r="E20" s="22" t="str">
        <x:v>対象写真</x:v>
      </x:c>
      <x:c r="F20" s="22" t="str">
        <x:v>目視確認済</x:v>
      </x:c>
      <x:c r="G20" s="22" t="str">
        <x:v>Tamorlan</x:v>
      </x:c>
      <x:c r="H20" s="22" t="str">
        <x:v>CC BY 3.0</x:v>
      </x:c>
      <x:c r="I20" s="22" t="str">
        <x:v>未確定</x:v>
      </x:c>
      <x:c r="J20" s="22" t="str">
        <x:v>3888×2592</x:v>
      </x:c>
      <x:c r="K20" s="22" t="str">
        <x:v>撮影地・店名未確認</x:v>
      </x:c>
      <x:c r="L20" s="22" t="str">
        <x:v>尾を残した衣揚げのエビが皿に並ぶ。</x:v>
      </x:c>
      <x:c r="M20" s="22" t="str">
        <x:v>2009年アップロード。色かぶりあり。特定店や配合は推定しない。</x:v>
      </x:c>
      <x:c r="N20" s="22" t="str">
        <x:v>Tamorlan / CC BY 3.0 / Wikimedia Commons</x:v>
      </x:c>
      <x:c r="O20" s="22" t="str">
        <x:v>https://commons.wikimedia.org/wiki/File:Gambas_a_la_gabardina-2009.jpg</x:v>
      </x:c>
      <x:c r="P20" s="22" t="str">
        <x:v>https://upload.wikimedia.org/wikipedia/commons/9/9a/Gambas_a_la_gabardina-2009.jpg</x:v>
      </x:c>
      <x:c r="Q20" s="22" t="str">
        <x:v>https://creativecommons.org/licenses/by/3.0/</x:v>
      </x:c>
      <x:c r="R20" s="22" t="str">
        <x:v>2026-09-27（前回の判定を継承）</x:v>
      </x:c>
      <x:c r="S20" s="22" t="str">
        <x:v>継承／再確認</x:v>
      </x:c>
      <x:c r="T20" s="22" t="str">
        <x:v>未保存</x:v>
      </x:c>
    </x:row>
    <x:row r="21" ht="92" customHeight="1">
      <x:c r="A21" s="24" t="str">
        <x:v>P017</x:v>
      </x:c>
      <x:c r="B21" s="24" t="str">
        <x:v>Huesos de Santo.jpg</x:v>
      </x:c>
      <x:c r="C21" s="24" t="str">
        <x:v>権利履歴の再照合待ち</x:v>
      </x:c>
      <x:c r="D21" s="24" t="str"/>
      <x:c r="E21" s="24" t="str">
        <x:v>名所・背景／参考</x:v>
      </x:c>
      <x:c r="F21" s="24" t="str">
        <x:v>目視確認済</x:v>
      </x:c>
      <x:c r="G21" s="24" t="str">
        <x:v>Tamorlan</x:v>
      </x:c>
      <x:c r="H21" s="24" t="str">
        <x:v>Public domain（現行ページ表記）</x:v>
      </x:c>
      <x:c r="I21" s="24" t="str">
        <x:v>未確定</x:v>
      </x:c>
      <x:c r="J21" s="24" t="str">
        <x:v>3888×2592</x:v>
      </x:c>
      <x:c r="K21" s="24" t="str">
        <x:v>撮影地・店名未確認</x:v>
      </x:c>
      <x:c r="L21" s="24" t="str">
        <x:v>白い筒状のウエソス・デ・サント。</x:v>
      </x:c>
      <x:c r="M21" s="24" t="str">
        <x:v>現行権利欄はPD。ただし2009年の原画差し替え履歴にCC BY 3.0表記があるため、原画版と許諾の照合まで保留。2006年撮影日は旧版の可能性があり採用しない。</x:v>
      </x:c>
      <x:c r="N21" s="24" t="str">
        <x:v>Tamorlan / Public domain（現行ページ表記） / Wikimedia Commons</x:v>
      </x:c>
      <x:c r="O21" s="24" t="str">
        <x:v>https://commons.wikimedia.org/wiki/File:Huesos_de_Santo.jpg</x:v>
      </x:c>
      <x:c r="P21" s="24" t="str">
        <x:v>https://upload.wikimedia.org/wikipedia/commons/e/e9/Huesos_de_Santo.jpg</x:v>
      </x:c>
      <x:c r="Q21" s="24" t="str">
        <x:v>https://commons.wikimedia.org/wiki/File:Huesos_de_Santo.jpg#Licensing</x:v>
      </x:c>
      <x:c r="R21" s="24" t="str">
        <x:v>2026-09-27（前回の判定を継承）</x:v>
      </x:c>
      <x:c r="S21" s="24" t="str">
        <x:v>継承／再確認</x:v>
      </x:c>
      <x:c r="T21" s="24" t="str">
        <x:v>未保存</x:v>
      </x:c>
    </x:row>
    <x:row r="22" ht="92" customHeight="1">
      <x:c r="A22" s="22" t="str">
        <x:v>P018</x:v>
      </x:c>
      <x:c r="B22" s="22" t="str">
        <x:v>Apilamiento de Rosquillas-2011.JPG</x:v>
      </x:c>
      <x:c r="C22" s="22" t="str">
        <x:v>条件付き使用候補</x:v>
      </x:c>
      <x:c r="D22" s="22" t="str">
        <x:v>M065</x:v>
      </x:c>
      <x:c r="E22" s="22" t="str">
        <x:v>対象写真</x:v>
      </x:c>
      <x:c r="F22" s="22" t="str">
        <x:v>目視確認済</x:v>
      </x:c>
      <x:c r="G22" s="22" t="str">
        <x:v>Tamorlan</x:v>
      </x:c>
      <x:c r="H22" s="22" t="str">
        <x:v>CC BY 3.0</x:v>
      </x:c>
      <x:c r="I22" s="22" t="str">
        <x:v>未確定</x:v>
      </x:c>
      <x:c r="J22" s="22" t="str">
        <x:v>3888×2592</x:v>
      </x:c>
      <x:c r="K22" s="22" t="str">
        <x:v>撮影地・店名未確認</x:v>
      </x:c>
      <x:c r="L22" s="22" t="str">
        <x:v>白い衣をまとったリング状のロスキージャス。</x:v>
      </x:c>
      <x:c r="M22" s="22" t="str">
        <x:v>ロスキージャス・デル・サントとの原典説明。白い衣だけで品種や味を断定しない。</x:v>
      </x:c>
      <x:c r="N22" s="22" t="str">
        <x:v>Tamorlan / CC BY 3.0 / Wikimedia Commons</x:v>
      </x:c>
      <x:c r="O22" s="22" t="str">
        <x:v>https://commons.wikimedia.org/wiki/File:Apilamiento_de_Rosquillas-2011.JPG</x:v>
      </x:c>
      <x:c r="P22" s="22" t="str">
        <x:v>https://upload.wikimedia.org/wikipedia/commons/8/81/Apilamiento_de_Rosquillas-2011.JPG</x:v>
      </x:c>
      <x:c r="Q22" s="22" t="str">
        <x:v>https://creativecommons.org/licenses/by/3.0/</x:v>
      </x:c>
      <x:c r="R22" s="22" t="str">
        <x:v>2026-09-27（前回の判定を継承）</x:v>
      </x:c>
      <x:c r="S22" s="22" t="str">
        <x:v>継承／再確認</x:v>
      </x:c>
      <x:c r="T22" s="22" t="str">
        <x:v>未保存</x:v>
      </x:c>
    </x:row>
    <x:row r="23" ht="92" customHeight="1">
      <x:c r="A23" s="24" t="str">
        <x:v>P019</x:v>
      </x:c>
      <x:c r="B23" s="24" t="str">
        <x:v>Entresijos - Paloma de 2012.JPG</x:v>
      </x:c>
      <x:c r="C23" s="24" t="str">
        <x:v>条件付き使用候補</x:v>
      </x:c>
      <x:c r="D23" s="24" t="str">
        <x:v>M003</x:v>
      </x:c>
      <x:c r="E23" s="24" t="str">
        <x:v>対象写真</x:v>
      </x:c>
      <x:c r="F23" s="24" t="str">
        <x:v>目視確認済</x:v>
      </x:c>
      <x:c r="G23" s="24" t="str">
        <x:v>Tamorlan</x:v>
      </x:c>
      <x:c r="H23" s="24" t="str">
        <x:v>CC BY-SA 3.0</x:v>
      </x:c>
      <x:c r="I23" s="24" t="str">
        <x:v>2012-08-15</x:v>
      </x:c>
      <x:c r="J23" s="24" t="str">
        <x:v>3888×2592</x:v>
      </x:c>
      <x:c r="K23" s="24" t="str">
        <x:v>Madrid・ラ・パロマ祭り</x:v>
      </x:c>
      <x:c r="L23" s="24" t="str">
        <x:v>祭りの売り場に山盛りにされたエントレシホス。</x:v>
      </x:c>
      <x:c r="M23" s="24" t="str">
        <x:v>ガリネハスとの混同を避け、エントレシホスとして表示。現在の祭り会場写真とはしない。</x:v>
      </x:c>
      <x:c r="N23" s="24" t="str">
        <x:v>Tamorlan / CC BY-SA 3.0 / Wikimedia Commons</x:v>
      </x:c>
      <x:c r="O23" s="24" t="str">
        <x:v>https://commons.wikimedia.org/wiki/File:Entresijos_-_Paloma_de_2012.JPG</x:v>
      </x:c>
      <x:c r="P23" s="24" t="str">
        <x:v>https://upload.wikimedia.org/wikipedia/commons/9/95/Entresijos_-_Paloma_de_2012.JPG</x:v>
      </x:c>
      <x:c r="Q23" s="24" t="str">
        <x:v>https://creativecommons.org/licenses/by-sa/3.0/</x:v>
      </x:c>
      <x:c r="R23" s="24" t="str">
        <x:v>2026-09-27（前回の判定を継承）</x:v>
      </x:c>
      <x:c r="S23" s="24" t="str">
        <x:v>継承／再確認</x:v>
      </x:c>
      <x:c r="T23" s="24" t="str">
        <x:v>未保存</x:v>
      </x:c>
    </x:row>
    <x:row r="24" ht="92" customHeight="1">
      <x:c r="A24" s="22" t="str">
        <x:v>P020</x:v>
      </x:c>
      <x:c r="B24" s="22" t="str">
        <x:v>Madrid - 46939425565 Quesos.jpg</x:v>
      </x:c>
      <x:c r="C24" s="22" t="str">
        <x:v>条件付き使用候補</x:v>
      </x:c>
      <x:c r="D24" s="22" t="str"/>
      <x:c r="E24" s="22" t="str">
        <x:v>一般補助・産品/調理法の特定不可</x:v>
      </x:c>
      <x:c r="F24" s="22" t="str">
        <x:v>目視確認済</x:v>
      </x:c>
      <x:c r="G24" s="22" t="str">
        <x:v>Brian Adamson</x:v>
      </x:c>
      <x:c r="H24" s="22" t="str">
        <x:v>CC BY 2.0</x:v>
      </x:c>
      <x:c r="I24" s="22" t="str">
        <x:v>2019-04-21</x:v>
      </x:c>
      <x:c r="J24" s="22" t="str">
        <x:v>3648×2736</x:v>
      </x:c>
      <x:c r="K24" s="22" t="str">
        <x:v>Madrid・店名未確認</x:v>
      </x:c>
      <x:c r="L24" s="22" t="str">
        <x:v>販売台に並ぶカットチーズとチーズの小さなトースト。</x:v>
      </x:c>
      <x:c r="M24" s="22" t="str">
        <x:v>Campo Real製・Madrid州産の証明なし。市場の補助写真限定。Flickr: https://www.flickr.com/photos/66391503@N00/46939425565/ 対象産品・調理法を確定できないので、対象料理の写真充足数には入れない。</x:v>
      </x:c>
      <x:c r="N24" s="22" t="str">
        <x:v>Brian Adamson / CC BY 2.0 / Wikimedia Commons</x:v>
      </x:c>
      <x:c r="O24" s="22" t="str">
        <x:v>https://commons.wikimedia.org/wiki/File:Madrid_-_46939425565_Quesos.jpg</x:v>
      </x:c>
      <x:c r="P24" s="22" t="str">
        <x:v>https://upload.wikimedia.org/wikipedia/commons/7/75/Madrid_-_46939425565_Quesos.jpg</x:v>
      </x:c>
      <x:c r="Q24" s="22" t="str">
        <x:v>https://creativecommons.org/licenses/by/2.0/</x:v>
      </x:c>
      <x:c r="R24" s="22" t="str">
        <x:v>2026-09-27（前回の判定を継承）</x:v>
      </x:c>
      <x:c r="S24" s="22" t="str">
        <x:v>継承／再確認</x:v>
      </x:c>
      <x:c r="T24" s="22" t="str">
        <x:v>未保存</x:v>
      </x:c>
    </x:row>
    <x:row r="25" ht="92" customHeight="1">
      <x:c r="A25" s="24" t="str">
        <x:v>P021</x:v>
      </x:c>
      <x:c r="B25" s="24" t="str">
        <x:v>Madrid - 47803517992 - Aceitunas.jpg</x:v>
      </x:c>
      <x:c r="C25" s="24" t="str">
        <x:v>条件付き使用候補</x:v>
      </x:c>
      <x:c r="D25" s="24" t="str">
        <x:v>M028</x:v>
      </x:c>
      <x:c r="E25" s="24" t="str">
        <x:v>一般補助・産品/調理法の特定不可</x:v>
      </x:c>
      <x:c r="F25" s="24" t="str">
        <x:v>目視確認済</x:v>
      </x:c>
      <x:c r="G25" s="24" t="str">
        <x:v>Brian Adamson</x:v>
      </x:c>
      <x:c r="H25" s="24" t="str">
        <x:v>CC BY 2.0</x:v>
      </x:c>
      <x:c r="I25" s="24" t="str">
        <x:v>2019-04-21</x:v>
      </x:c>
      <x:c r="J25" s="24" t="str">
        <x:v>3648×2736</x:v>
      </x:c>
      <x:c r="K25" s="24" t="str">
        <x:v>Madrid・店名未確認</x:v>
      </x:c>
      <x:c r="L25" s="24" t="str">
        <x:v>オリーブの販売台と具を組み合わせた串。</x:v>
      </x:c>
      <x:c r="M25" s="24" t="str">
        <x:v>Campo Real認証オリーブとは確認できない。Flickr: https://www.flickr.com/photos/66391503@N00/47803517992/ 対象産品・調理法を確定できないので、対象料理の写真充足数には入れない。</x:v>
      </x:c>
      <x:c r="N25" s="24" t="str">
        <x:v>Brian Adamson / CC BY 2.0 / Wikimedia Commons</x:v>
      </x:c>
      <x:c r="O25" s="24" t="str">
        <x:v>https://commons.wikimedia.org/wiki/File:Madrid_-_47803517992_-_Aceitunas.jpg</x:v>
      </x:c>
      <x:c r="P25" s="24" t="str">
        <x:v>https://upload.wikimedia.org/wikipedia/commons/8/8c/Madrid_-_47803517992_-_Aceitunas.jpg</x:v>
      </x:c>
      <x:c r="Q25" s="24" t="str">
        <x:v>https://creativecommons.org/licenses/by/2.0/</x:v>
      </x:c>
      <x:c r="R25" s="24" t="str">
        <x:v>2026-09-27（前回の判定を継承）</x:v>
      </x:c>
      <x:c r="S25" s="24" t="str">
        <x:v>継承／再確認</x:v>
      </x:c>
      <x:c r="T25" s="24" t="str">
        <x:v>未保存</x:v>
      </x:c>
    </x:row>
    <x:row r="26" ht="92" customHeight="1">
      <x:c r="A26" s="22" t="str">
        <x:v>P022</x:v>
      </x:c>
      <x:c r="B26" s="22" t="str">
        <x:v>Aceitunas aliñadas a la madrileña.jpg</x:v>
      </x:c>
      <x:c r="C26" s="22" t="str">
        <x:v>条件付き使用候補</x:v>
      </x:c>
      <x:c r="D26" s="22" t="str"/>
      <x:c r="E26" s="22" t="str">
        <x:v>名所・背景／参考</x:v>
      </x:c>
      <x:c r="F26" s="22" t="str">
        <x:v>目視確認済</x:v>
      </x:c>
      <x:c r="G26" s="22" t="str">
        <x:v>Tamorlan</x:v>
      </x:c>
      <x:c r="H26" s="22" t="str">
        <x:v>CC BY 3.0</x:v>
      </x:c>
      <x:c r="I26" s="22" t="str">
        <x:v>未確定</x:v>
      </x:c>
      <x:c r="J26" s="22" t="str">
        <x:v>3888×2592</x:v>
      </x:c>
      <x:c r="K26" s="22" t="str">
        <x:v>撮影地・店名未確認</x:v>
      </x:c>
      <x:c r="L26" s="22" t="str">
        <x:v>黒いオリーブ、タマネギ、赤い粉末調味料を盛った皿。</x:v>
      </x:c>
      <x:c r="M26" s="22" t="str">
        <x:v>マドリード風の原典説明。Campo Real認証品の証拠ではない。</x:v>
      </x:c>
      <x:c r="N26" s="22" t="str">
        <x:v>Tamorlan / CC BY 3.0 / Wikimedia Commons</x:v>
      </x:c>
      <x:c r="O26" s="22" t="str">
        <x:v>https://commons.wikimedia.org/wiki/File:Aceitunas_ali%C3%B1adas_a_la_madrile%C3%B1a.jpg</x:v>
      </x:c>
      <x:c r="P26" s="22" t="str">
        <x:v>https://upload.wikimedia.org/wikipedia/commons/1/15/Aceitunas_ali%C3%B1adas_a_la_madrile%C3%B1a.jpg</x:v>
      </x:c>
      <x:c r="Q26" s="22" t="str">
        <x:v>https://creativecommons.org/licenses/by/3.0/</x:v>
      </x:c>
      <x:c r="R26" s="22" t="str">
        <x:v>2026-09-27（前回の判定を継承）</x:v>
      </x:c>
      <x:c r="S26" s="22" t="str">
        <x:v>継承／再確認</x:v>
      </x:c>
      <x:c r="T26" s="22" t="str">
        <x:v>未保存</x:v>
      </x:c>
    </x:row>
    <x:row r="27" ht="92" customHeight="1">
      <x:c r="A27" s="24" t="str">
        <x:v>P023</x:v>
      </x:c>
      <x:c r="B27" s="24" t="str">
        <x:v>Berenjenas en vinagre-Lavapies.jpg</x:v>
      </x:c>
      <x:c r="C27" s="24" t="str">
        <x:v>条件付き使用候補</x:v>
      </x:c>
      <x:c r="D27" s="24" t="str">
        <x:v>M030</x:v>
      </x:c>
      <x:c r="E27" s="24" t="str">
        <x:v>対象写真</x:v>
      </x:c>
      <x:c r="F27" s="24" t="str">
        <x:v>目視確認済</x:v>
      </x:c>
      <x:c r="G27" s="24" t="str">
        <x:v>Tamorlan</x:v>
      </x:c>
      <x:c r="H27" s="24" t="str">
        <x:v>CC BY 3.0</x:v>
      </x:c>
      <x:c r="I27" s="24" t="str">
        <x:v>未確定</x:v>
      </x:c>
      <x:c r="J27" s="24" t="str">
        <x:v>3888×2592</x:v>
      </x:c>
      <x:c r="K27" s="24" t="str">
        <x:v>Lavapiés（ファイル名）・店舗未確認</x:v>
      </x:c>
      <x:c r="L27" s="24" t="str">
        <x:v>売り場のトレーに並ぶ小ナスの酢漬け。</x:v>
      </x:c>
      <x:c r="M27" s="24" t="str">
        <x:v>IGP Berenjena de Almagroの認証マークは確認できない。一般的な酢漬けの説明写真として扱う。</x:v>
      </x:c>
      <x:c r="N27" s="24" t="str">
        <x:v>Tamorlan / CC BY 3.0 / Wikimedia Commons</x:v>
      </x:c>
      <x:c r="O27" s="24" t="str">
        <x:v>https://commons.wikimedia.org/wiki/File:Berenjenas_en_vinagre-Lavapies.jpg</x:v>
      </x:c>
      <x:c r="P27" s="24" t="str">
        <x:v>https://upload.wikimedia.org/wikipedia/commons/b/b9/Berenjenas_en_vinagre-Lavapies.jpg</x:v>
      </x:c>
      <x:c r="Q27" s="24" t="str">
        <x:v>https://creativecommons.org/licenses/by/3.0/</x:v>
      </x:c>
      <x:c r="R27" s="24" t="str">
        <x:v>2026-09-27（前回の判定を継承）</x:v>
      </x:c>
      <x:c r="S27" s="24" t="str">
        <x:v>継承／再確認</x:v>
      </x:c>
      <x:c r="T27" s="24" t="str">
        <x:v>未保存</x:v>
      </x:c>
    </x:row>
    <x:row r="28" ht="92" customHeight="1">
      <x:c r="A28" s="22" t="str">
        <x:v>P024</x:v>
      </x:c>
      <x:c r="B28" s="22" t="str">
        <x:v>Burrata @ Mercado de San Miguel (24752377418).jpg</x:v>
      </x:c>
      <x:c r="C28" s="22" t="str">
        <x:v>条件付き使用候補</x:v>
      </x:c>
      <x:c r="D28" s="22" t="str"/>
      <x:c r="E28" s="22" t="str">
        <x:v>名所・背景／参考</x:v>
      </x:c>
      <x:c r="F28" s="22" t="str">
        <x:v>目視確認済</x:v>
      </x:c>
      <x:c r="G28" s="22" t="str">
        <x:v>Dmitry Dzhus</x:v>
      </x:c>
      <x:c r="H28" s="22" t="str">
        <x:v>CC BY 2.0</x:v>
      </x:c>
      <x:c r="I28" s="22" t="str">
        <x:v>2017-10-04</x:v>
      </x:c>
      <x:c r="J28" s="22" t="str">
        <x:v>4608×3456</x:v>
      </x:c>
      <x:c r="K28" s="22" t="str">
        <x:v>Madrid・Mercado de San Miguel</x:v>
      </x:c>
      <x:c r="L28" s="22" t="str">
        <x:v>パンにのせたブッラータと飲み物。</x:v>
      </x:c>
      <x:c r="M28" s="22" t="str">
        <x:v>食材のトッピングは断定しない。イタリア系の市場料理の補助資料でありMadridの郷土チーズではない。</x:v>
      </x:c>
      <x:c r="N28" s="22" t="str">
        <x:v>Dmitry Dzhus / CC BY 2.0 / Wikimedia Commons</x:v>
      </x:c>
      <x:c r="O28" s="22" t="str">
        <x:v>https://commons.wikimedia.org/wiki/File:Burrata_%40_Mercado_de_San_Miguel_%2824752377418%29.jpg</x:v>
      </x:c>
      <x:c r="P28" s="22" t="str">
        <x:v>https://upload.wikimedia.org/wikipedia/commons/3/35/Burrata_%40_Mercado_de_San_Miguel_%2824752377418%29.jpg</x:v>
      </x:c>
      <x:c r="Q28" s="22" t="str">
        <x:v>https://creativecommons.org/licenses/by/2.0/</x:v>
      </x:c>
      <x:c r="R28" s="22" t="str">
        <x:v>2026-09-27（前回の判定を継承）</x:v>
      </x:c>
      <x:c r="S28" s="22" t="str">
        <x:v>継承／再確認</x:v>
      </x:c>
      <x:c r="T28" s="22" t="str">
        <x:v>未保存</x:v>
      </x:c>
    </x:row>
    <x:row r="29" ht="92" customHeight="1">
      <x:c r="A29" s="24" t="str">
        <x:v>P025</x:v>
      </x:c>
      <x:c r="B29" s="24" t="str">
        <x:v>Cazuela de chorizo - sshreeves.jpg</x:v>
      </x:c>
      <x:c r="C29" s="24" t="str">
        <x:v>条件付き使用候補</x:v>
      </x:c>
      <x:c r="D29" s="24" t="str"/>
      <x:c r="E29" s="24" t="str">
        <x:v>一般補助・産品/調理法の特定不可</x:v>
      </x:c>
      <x:c r="F29" s="24" t="str">
        <x:v>目視確認済</x:v>
      </x:c>
      <x:c r="G29" s="24" t="str">
        <x:v>Sarah Shreeves</x:v>
      </x:c>
      <x:c r="H29" s="24" t="str">
        <x:v>CC BY 2.0</x:v>
      </x:c>
      <x:c r="I29" s="24" t="str">
        <x:v>2010-07-06</x:v>
      </x:c>
      <x:c r="J29" s="24" t="str">
        <x:v>4000×3000</x:v>
      </x:c>
      <x:c r="K29" s="24" t="str">
        <x:v>Madrid（原典座標）・店舗未確認</x:v>
      </x:c>
      <x:c r="L29" s="24" t="str">
        <x:v>土鍋に入った輪切りチョリソー。</x:v>
      </x:c>
      <x:c r="M29" s="24" t="str">
        <x:v>調理液がシドラかは未確認。chorizos a la sidraの完成写真としては使わず、チョリソーの補助写真にする。 対象産品・調理法を確定できないので、対象料理の写真充足数には入れない。</x:v>
      </x:c>
      <x:c r="N29" s="24" t="str">
        <x:v>Sarah Shreeves / CC BY 2.0 / Wikimedia Commons</x:v>
      </x:c>
      <x:c r="O29" s="24" t="str">
        <x:v>https://commons.wikimedia.org/wiki/File:Cazuela_de_chorizo_-_sshreeves.jpg</x:v>
      </x:c>
      <x:c r="P29" s="24" t="str">
        <x:v>https://upload.wikimedia.org/wikipedia/commons/3/3a/Cazuela_de_chorizo_-_sshreeves.jpg</x:v>
      </x:c>
      <x:c r="Q29" s="24" t="str">
        <x:v>https://creativecommons.org/licenses/by/2.0/</x:v>
      </x:c>
      <x:c r="R29" s="24" t="str">
        <x:v>2026-09-27（前回の判定を継承）</x:v>
      </x:c>
      <x:c r="S29" s="24" t="str">
        <x:v>継承／再確認</x:v>
      </x:c>
      <x:c r="T29" s="24" t="str">
        <x:v>未保存</x:v>
      </x:c>
    </x:row>
    <x:row r="30" ht="92" customHeight="1">
      <x:c r="A30" s="22" t="str">
        <x:v>P026</x:v>
      </x:c>
      <x:c r="B30" s="22" t="str">
        <x:v>Chocolatería San Ginés (10512648395).jpg</x:v>
      </x:c>
      <x:c r="C30" s="22" t="str">
        <x:v>条件付き使用候補</x:v>
      </x:c>
      <x:c r="D30" s="22" t="str">
        <x:v>M061, M062, M092</x:v>
      </x:c>
      <x:c r="E30" s="22" t="str">
        <x:v>対象写真</x:v>
      </x:c>
      <x:c r="F30" s="22" t="str">
        <x:v>目視確認済</x:v>
      </x:c>
      <x:c r="G30" s="22" t="str">
        <x:v>WeI-chieh Chiu</x:v>
      </x:c>
      <x:c r="H30" s="22" t="str">
        <x:v>CC BY-SA 2.0</x:v>
      </x:c>
      <x:c r="I30" s="22" t="str">
        <x:v>2013-10-04</x:v>
      </x:c>
      <x:c r="J30" s="22" t="str">
        <x:v>4000×2248</x:v>
      </x:c>
      <x:c r="K30" s="22" t="str">
        <x:v>Madrid・Chocolatería San Ginés</x:v>
      </x:c>
      <x:c r="L30" s="22" t="str">
        <x:v>チュロス、太いポラス、カップのチョコレート。</x:v>
      </x:c>
      <x:c r="M30" s="22" t="str">
        <x:v>組み合わせが分かる。写真当時の注文例であり現在のセット内容の証明ではない。</x:v>
      </x:c>
      <x:c r="N30" s="22" t="str">
        <x:v>WeI-chieh Chiu / CC BY-SA 2.0 / Wikimedia Commons</x:v>
      </x:c>
      <x:c r="O30" s="22" t="str">
        <x:v>https://commons.wikimedia.org/wiki/File:Chocolater%C3%ADa_San_Gin%C3%A9s_%2810512648395%29.jpg</x:v>
      </x:c>
      <x:c r="P30" s="22" t="str">
        <x:v>https://upload.wikimedia.org/wikipedia/commons/b/b7/Chocolater%C3%ADa_San_Gin%C3%A9s_%2810512648395%29.jpg</x:v>
      </x:c>
      <x:c r="Q30" s="22" t="str">
        <x:v>https://creativecommons.org/licenses/by-sa/2.0/</x:v>
      </x:c>
      <x:c r="R30" s="22" t="str">
        <x:v>2026-09-27（前回の判定を継承）</x:v>
      </x:c>
      <x:c r="S30" s="22" t="str">
        <x:v>継承／再確認</x:v>
      </x:c>
      <x:c r="T30" s="22" t="str">
        <x:v>未保存</x:v>
      </x:c>
    </x:row>
    <x:row r="31" ht="92" customHeight="1">
      <x:c r="A31" s="24" t="str">
        <x:v>P027</x:v>
      </x:c>
      <x:c r="B31" s="24" t="str">
        <x:v>Croquetas de jamón - lacestabar.jpg</x:v>
      </x:c>
      <x:c r="C31" s="24" t="str">
        <x:v>条件付き使用候補</x:v>
      </x:c>
      <x:c r="D31" s="24" t="str">
        <x:v>M022</x:v>
      </x:c>
      <x:c r="E31" s="24" t="str">
        <x:v>対象写真</x:v>
      </x:c>
      <x:c r="F31" s="24" t="str">
        <x:v>目視確認済</x:v>
      </x:c>
      <x:c r="G31" s="24" t="str">
        <x:v>La Cesta Bar Restaurante</x:v>
      </x:c>
      <x:c r="H31" s="24" t="str">
        <x:v>CC BY 2.0</x:v>
      </x:c>
      <x:c r="I31" s="24" t="str">
        <x:v>2010-11-17</x:v>
      </x:c>
      <x:c r="J31" s="24" t="str">
        <x:v>1024×799</x:v>
      </x:c>
      <x:c r="K31" s="24" t="str">
        <x:v>La Cesta Bar Restaurante提供・Madridの投稿者</x:v>
      </x:c>
      <x:c r="L31" s="24" t="str">
        <x:v>白い皿に盛ったハムのクロケタ。</x:v>
      </x:c>
      <x:c r="M31" s="24" t="str">
        <x:v>店の現在営業や現在の商品を示す写真ではない。コシード入りクロケタへの流用不可。</x:v>
      </x:c>
      <x:c r="N31" s="24" t="str">
        <x:v>La Cesta Bar Restaurante / CC BY 2.0 / Wikimedia Commons</x:v>
      </x:c>
      <x:c r="O31" s="24" t="str">
        <x:v>https://commons.wikimedia.org/wiki/File:Croquetas_de_jam%C3%B3n_-_lacestabar.jpg</x:v>
      </x:c>
      <x:c r="P31" s="24" t="str">
        <x:v>https://upload.wikimedia.org/wikipedia/commons/2/2c/Croquetas_de_jam%C3%B3n_-_lacestabar.jpg</x:v>
      </x:c>
      <x:c r="Q31" s="24" t="str">
        <x:v>https://creativecommons.org/licenses/by/2.0/</x:v>
      </x:c>
      <x:c r="R31" s="24" t="str">
        <x:v>2026-09-27（前回の判定を継承）</x:v>
      </x:c>
      <x:c r="S31" s="24" t="str">
        <x:v>継承／再確認</x:v>
      </x:c>
      <x:c r="T31" s="24" t="str">
        <x:v>未保存</x:v>
      </x:c>
    </x:row>
    <x:row r="32" ht="92" customHeight="1">
      <x:c r="A32" s="22" t="str">
        <x:v>P028</x:v>
      </x:c>
      <x:c r="B32" s="22" t="str">
        <x:v>Empanadas de Atún-2009.jpg</x:v>
      </x:c>
      <x:c r="C32" s="22" t="str">
        <x:v>条件付き使用候補</x:v>
      </x:c>
      <x:c r="D32" s="22" t="str">
        <x:v>M045</x:v>
      </x:c>
      <x:c r="E32" s="22" t="str">
        <x:v>対象写真</x:v>
      </x:c>
      <x:c r="F32" s="22" t="str">
        <x:v>目視確認済</x:v>
      </x:c>
      <x:c r="G32" s="22" t="str">
        <x:v>Tamorlan</x:v>
      </x:c>
      <x:c r="H32" s="22" t="str">
        <x:v>CC BY 3.0</x:v>
      </x:c>
      <x:c r="I32" s="22" t="str">
        <x:v>2009-09-05</x:v>
      </x:c>
      <x:c r="J32" s="22" t="str">
        <x:v>3888×2592</x:v>
      </x:c>
      <x:c r="K32" s="22" t="str">
        <x:v>Madrid・La Mallorquina</x:v>
      </x:c>
      <x:c r="L32" s="22" t="str">
        <x:v>ツナ入りパイのエンパナーダ。</x:v>
      </x:c>
      <x:c r="M32" s="22" t="str">
        <x:v>この写真はパイ生地。ガリシアのすべてのエンパナーダが同じ生地という説明は不可。</x:v>
      </x:c>
      <x:c r="N32" s="22" t="str">
        <x:v>Tamorlan / CC BY 3.0 / Wikimedia Commons</x:v>
      </x:c>
      <x:c r="O32" s="22" t="str">
        <x:v>https://commons.wikimedia.org/wiki/File:Empanadas_de_At%C3%BAn-2009.jpg</x:v>
      </x:c>
      <x:c r="P32" s="22" t="str">
        <x:v>https://upload.wikimedia.org/wikipedia/commons/e/e0/Empanadas_de_At%C3%BAn-2009.jpg</x:v>
      </x:c>
      <x:c r="Q32" s="22" t="str">
        <x:v>https://creativecommons.org/licenses/by/3.0/</x:v>
      </x:c>
      <x:c r="R32" s="22" t="str">
        <x:v>2026-09-27（前回の判定を継承）</x:v>
      </x:c>
      <x:c r="S32" s="22" t="str">
        <x:v>継承／再確認</x:v>
      </x:c>
      <x:c r="T32" s="22" t="str">
        <x:v>未保存</x:v>
      </x:c>
    </x:row>
    <x:row r="33" ht="92" customHeight="1">
      <x:c r="A33" s="24" t="str">
        <x:v>P029</x:v>
      </x:c>
      <x:c r="B33" s="24" t="str">
        <x:v>GambasAjillo.jpg</x:v>
      </x:c>
      <x:c r="C33" s="24" t="str">
        <x:v>条件付き使用候補</x:v>
      </x:c>
      <x:c r="D33" s="24" t="str">
        <x:v>M024</x:v>
      </x:c>
      <x:c r="E33" s="24" t="str">
        <x:v>対象写真</x:v>
      </x:c>
      <x:c r="F33" s="24" t="str">
        <x:v>目視確認済</x:v>
      </x:c>
      <x:c r="G33" s="24" t="str">
        <x:v>SKaRCHa</x:v>
      </x:c>
      <x:c r="H33" s="24" t="str">
        <x:v>CC BY-SA 2.0</x:v>
      </x:c>
      <x:c r="I33" s="24" t="str">
        <x:v>2005-05-20</x:v>
      </x:c>
      <x:c r="J33" s="24" t="str">
        <x:v>640×480</x:v>
      </x:c>
      <x:c r="K33" s="24" t="str">
        <x:v>撮影地・店名未確認</x:v>
      </x:c>
      <x:c r="L33" s="24" t="str">
        <x:v>土鍋のガンバス・アル・アヒージョ。</x:v>
      </x:c>
      <x:c r="M33" s="24" t="str">
        <x:v>低解像度のため小さな補助写真向き。Casa del Abuelo撮影と断定しない。</x:v>
      </x:c>
      <x:c r="N33" s="24" t="str">
        <x:v>SKaRCHa / CC BY-SA 2.0 / Wikimedia Commons</x:v>
      </x:c>
      <x:c r="O33" s="24" t="str">
        <x:v>https://commons.wikimedia.org/wiki/File:GambasAjillo.jpg</x:v>
      </x:c>
      <x:c r="P33" s="24" t="str">
        <x:v>https://upload.wikimedia.org/wikipedia/commons/1/17/GambasAjillo.jpg</x:v>
      </x:c>
      <x:c r="Q33" s="24" t="str">
        <x:v>https://creativecommons.org/licenses/by-sa/2.0/</x:v>
      </x:c>
      <x:c r="R33" s="24" t="str">
        <x:v>2026-09-27（前回の判定を継承）</x:v>
      </x:c>
      <x:c r="S33" s="24" t="str">
        <x:v>継承／再確認</x:v>
      </x:c>
      <x:c r="T33" s="24" t="str">
        <x:v>未保存</x:v>
      </x:c>
    </x:row>
    <x:row r="34" ht="92" customHeight="1">
      <x:c r="A34" s="22" t="str">
        <x:v>P030</x:v>
      </x:c>
      <x:c r="B34" s="22" t="str">
        <x:v>Huesos de San Expedito (Detalle)-2009.jpg</x:v>
      </x:c>
      <x:c r="C34" s="22" t="str">
        <x:v>条件付き使用候補</x:v>
      </x:c>
      <x:c r="D34" s="22" t="str">
        <x:v>M083</x:v>
      </x:c>
      <x:c r="E34" s="22" t="str">
        <x:v>対象写真</x:v>
      </x:c>
      <x:c r="F34" s="22" t="str">
        <x:v>目視確認済</x:v>
      </x:c>
      <x:c r="G34" s="22" t="str">
        <x:v>Tamorlan</x:v>
      </x:c>
      <x:c r="H34" s="22" t="str">
        <x:v>CC BY 3.0</x:v>
      </x:c>
      <x:c r="I34" s="22" t="str">
        <x:v>未確定</x:v>
      </x:c>
      <x:c r="J34" s="22" t="str">
        <x:v>3888×2592</x:v>
      </x:c>
      <x:c r="K34" s="22" t="str">
        <x:v>撮影地・店名未確認</x:v>
      </x:c>
      <x:c r="L34" s="22" t="str">
        <x:v>粉砂糖をまとった細長いサン・エスペディートの菓子。</x:v>
      </x:c>
      <x:c r="M34" s="22" t="str">
        <x:v>ウエソス・デ・サントとは別の菓子。</x:v>
      </x:c>
      <x:c r="N34" s="22" t="str">
        <x:v>Tamorlan / CC BY 3.0 / Wikimedia Commons</x:v>
      </x:c>
      <x:c r="O34" s="22" t="str">
        <x:v>https://commons.wikimedia.org/wiki/File:Huesos_de_San_Expedito_%28Detalle%29-2009.jpg</x:v>
      </x:c>
      <x:c r="P34" s="22" t="str">
        <x:v>https://upload.wikimedia.org/wikipedia/commons/4/40/Huesos_de_San_Expedito_%28Detalle%29-2009.jpg</x:v>
      </x:c>
      <x:c r="Q34" s="22" t="str">
        <x:v>https://creativecommons.org/licenses/by/3.0/</x:v>
      </x:c>
      <x:c r="R34" s="22" t="str">
        <x:v>2026-09-27（前回の判定を継承）</x:v>
      </x:c>
      <x:c r="S34" s="22" t="str">
        <x:v>継承／再確認</x:v>
      </x:c>
      <x:c r="T34" s="22" t="str">
        <x:v>未保存</x:v>
      </x:c>
    </x:row>
    <x:row r="35" ht="92" customHeight="1">
      <x:c r="A35" s="24" t="str">
        <x:v>P031</x:v>
      </x:c>
      <x:c r="B35" s="24" t="str">
        <x:v>Las reputadas Patatas Bravas... @ Madrid.jpg</x:v>
      </x:c>
      <x:c r="C35" s="24" t="str">
        <x:v>撮影地矛盾・採用保留</x:v>
      </x:c>
      <x:c r="D35" s="24" t="str"/>
      <x:c r="E35" s="24" t="str">
        <x:v>名所・背景／参考</x:v>
      </x:c>
      <x:c r="F35" s="24" t="str">
        <x:v>目視確認済</x:v>
      </x:c>
      <x:c r="G35" s="24" t="str">
        <x:v>robertorodriguex</x:v>
      </x:c>
      <x:c r="H35" s="24" t="str">
        <x:v>CC BY-SA 2.0</x:v>
      </x:c>
      <x:c r="I35" s="24" t="str">
        <x:v>2010-03-30</x:v>
      </x:c>
      <x:c r="J35" s="24" t="str">
        <x:v>1600×1200</x:v>
      </x:c>
      <x:c r="K35" s="24" t="str">
        <x:v>不一致：題名Madrid／座標はVienna</x:v>
      </x:c>
      <x:c r="L35" s="24" t="str">
        <x:v>ソースをかけた角切りポテトとビール。</x:v>
      </x:c>
      <x:c r="M35" s="24" t="str">
        <x:v>原典題名はMadridだが座標48.180227,16.374548。Madrid現地写真として採用しない。一般料理写真への限定も要編集判断。</x:v>
      </x:c>
      <x:c r="N35" s="24" t="str">
        <x:v>robertorodriguex / CC BY-SA 2.0 / Wikimedia Commons</x:v>
      </x:c>
      <x:c r="O35" s="24" t="str">
        <x:v>https://commons.wikimedia.org/wiki/File:Las_reputadas_Patatas_Bravas..._%40_Madrid.jpg</x:v>
      </x:c>
      <x:c r="P35" s="24" t="str">
        <x:v>https://upload.wikimedia.org/wikipedia/commons/9/97/Las_reputadas_Patatas_Bravas..._%40_Madrid.jpg</x:v>
      </x:c>
      <x:c r="Q35" s="24" t="str">
        <x:v>https://creativecommons.org/licenses/by-sa/2.0/</x:v>
      </x:c>
      <x:c r="R35" s="24" t="str">
        <x:v>2026-09-27（前回の判定を継承）</x:v>
      </x:c>
      <x:c r="S35" s="24" t="str">
        <x:v>継承／再確認</x:v>
      </x:c>
      <x:c r="T35" s="24" t="str">
        <x:v>未保存</x:v>
      </x:c>
    </x:row>
    <x:row r="36" ht="92" customHeight="1">
      <x:c r="A36" s="22" t="str">
        <x:v>P032</x:v>
      </x:c>
      <x:c r="B36" s="22" t="str">
        <x:v>Bartolillos de crema (La Mallorquina).jpg</x:v>
      </x:c>
      <x:c r="C36" s="22" t="str">
        <x:v>条件付き使用候補</x:v>
      </x:c>
      <x:c r="D36" s="22" t="str">
        <x:v>M064</x:v>
      </x:c>
      <x:c r="E36" s="22" t="str">
        <x:v>対象写真</x:v>
      </x:c>
      <x:c r="F36" s="22" t="str">
        <x:v>目視確認済</x:v>
      </x:c>
      <x:c r="G36" s="22" t="str">
        <x:v>Tamorlan</x:v>
      </x:c>
      <x:c r="H36" s="22" t="str">
        <x:v>CC BY 3.0</x:v>
      </x:c>
      <x:c r="I36" s="22" t="str">
        <x:v>2009-10-10</x:v>
      </x:c>
      <x:c r="J36" s="22" t="str">
        <x:v>3888×2592</x:v>
      </x:c>
      <x:c r="K36" s="22" t="str">
        <x:v>Madrid・La Mallorquina（原典カテゴリ）</x:v>
      </x:c>
      <x:c r="L36" s="22" t="str">
        <x:v>粉砂糖をかけた三角形のバルトリージョ。</x:v>
      </x:c>
      <x:c r="M36" s="22" t="str">
        <x:v>撮影日はEXIF。現在の店頭商品写真ではない。</x:v>
      </x:c>
      <x:c r="N36" s="22" t="str">
        <x:v>Tamorlan / CC BY 3.0 / Wikimedia Commons</x:v>
      </x:c>
      <x:c r="O36" s="22" t="str">
        <x:v>https://commons.wikimedia.org/wiki/File:Bartolillos_de_crema_%28La_Mallorquina%29.jpg</x:v>
      </x:c>
      <x:c r="P36" s="22" t="str">
        <x:v>https://upload.wikimedia.org/wikipedia/commons/a/a6/Bartolillos_de_crema_%28La_Mallorquina%29.jpg</x:v>
      </x:c>
      <x:c r="Q36" s="22" t="str">
        <x:v>https://creativecommons.org/licenses/by/3.0/</x:v>
      </x:c>
      <x:c r="R36" s="22" t="str">
        <x:v>2026-09-27（前回の判定を継承）</x:v>
      </x:c>
      <x:c r="S36" s="22" t="str">
        <x:v>継承／再確認</x:v>
      </x:c>
      <x:c r="T36" s="22" t="str">
        <x:v>未保存</x:v>
      </x:c>
    </x:row>
    <x:row r="37" ht="92" customHeight="1">
      <x:c r="A37" s="24" t="str">
        <x:v>P033</x:v>
      </x:c>
      <x:c r="B37" s="24" t="str">
        <x:v>Bartolillos-Recién elaborados.jpg</x:v>
      </x:c>
      <x:c r="C37" s="24" t="str">
        <x:v>条件付き使用候補</x:v>
      </x:c>
      <x:c r="D37" s="24" t="str">
        <x:v>M064</x:v>
      </x:c>
      <x:c r="E37" s="24" t="str">
        <x:v>対象写真</x:v>
      </x:c>
      <x:c r="F37" s="24" t="str">
        <x:v>目視確認済</x:v>
      </x:c>
      <x:c r="G37" s="24" t="str">
        <x:v>Tamorlan</x:v>
      </x:c>
      <x:c r="H37" s="24" t="str">
        <x:v>CC BY 3.0</x:v>
      </x:c>
      <x:c r="I37" s="24" t="str">
        <x:v>未確定</x:v>
      </x:c>
      <x:c r="J37" s="24" t="str">
        <x:v>3888×2592</x:v>
      </x:c>
      <x:c r="K37" s="24" t="str">
        <x:v>作業場・店名未確認</x:v>
      </x:c>
      <x:c r="L37" s="24" t="str">
        <x:v>揚げ上がって油を切っているバルトリージョ。</x:v>
      </x:c>
      <x:c r="M37" s="24" t="str">
        <x:v>P032と同じ店の連続工程だとは断定しない。</x:v>
      </x:c>
      <x:c r="N37" s="24" t="str">
        <x:v>Tamorlan / CC BY 3.0 / Wikimedia Commons</x:v>
      </x:c>
      <x:c r="O37" s="24" t="str">
        <x:v>https://commons.wikimedia.org/wiki/File:Bartolillos-Reci%C3%A9n_elaborados.jpg</x:v>
      </x:c>
      <x:c r="P37" s="24" t="str">
        <x:v>https://upload.wikimedia.org/wikipedia/commons/f/fa/Bartolillos-Reci%C3%A9n_elaborados.jpg</x:v>
      </x:c>
      <x:c r="Q37" s="24" t="str">
        <x:v>https://creativecommons.org/licenses/by/3.0/</x:v>
      </x:c>
      <x:c r="R37" s="24" t="str">
        <x:v>2026-09-27（前回の判定を継承）</x:v>
      </x:c>
      <x:c r="S37" s="24" t="str">
        <x:v>継承／再確認</x:v>
      </x:c>
      <x:c r="T37" s="24" t="str">
        <x:v>未保存</x:v>
      </x:c>
    </x:row>
    <x:row r="38" ht="92" customHeight="1">
      <x:c r="A38" s="22" t="str">
        <x:v>P034</x:v>
      </x:c>
      <x:c r="B38" s="22" t="str">
        <x:v>Freir- Bartolillos.jpg</x:v>
      </x:c>
      <x:c r="C38" s="22" t="str">
        <x:v>条件付き使用候補</x:v>
      </x:c>
      <x:c r="D38" s="22" t="str">
        <x:v>M064</x:v>
      </x:c>
      <x:c r="E38" s="22" t="str">
        <x:v>対象写真</x:v>
      </x:c>
      <x:c r="F38" s="22" t="str">
        <x:v>目視確認済</x:v>
      </x:c>
      <x:c r="G38" s="22" t="str">
        <x:v>Tamorlan</x:v>
      </x:c>
      <x:c r="H38" s="22" t="str">
        <x:v>CC BY 3.0</x:v>
      </x:c>
      <x:c r="I38" s="22" t="str">
        <x:v>未確定</x:v>
      </x:c>
      <x:c r="J38" s="22" t="str">
        <x:v>3888×2592</x:v>
      </x:c>
      <x:c r="K38" s="22" t="str">
        <x:v>作業場・店名未確認</x:v>
      </x:c>
      <x:c r="L38" s="22" t="str">
        <x:v>大鍋でバルトリージョを揚げる工程。</x:v>
      </x:c>
      <x:c r="M38" s="22" t="str">
        <x:v>記事の調理説明に有用。店舗の帰属は未確認。</x:v>
      </x:c>
      <x:c r="N38" s="22" t="str">
        <x:v>Tamorlan / CC BY 3.0 / Wikimedia Commons</x:v>
      </x:c>
      <x:c r="O38" s="22" t="str">
        <x:v>https://commons.wikimedia.org/wiki/File:Freir-_Bartolillos.jpg</x:v>
      </x:c>
      <x:c r="P38" s="22" t="str">
        <x:v>https://upload.wikimedia.org/wikipedia/commons/6/60/Freir-_Bartolillos.jpg</x:v>
      </x:c>
      <x:c r="Q38" s="22" t="str">
        <x:v>https://creativecommons.org/licenses/by/3.0/</x:v>
      </x:c>
      <x:c r="R38" s="22" t="str">
        <x:v>2026-09-27（前回の判定を継承）</x:v>
      </x:c>
      <x:c r="S38" s="22" t="str">
        <x:v>継承／再確認</x:v>
      </x:c>
      <x:c r="T38" s="22" t="str">
        <x:v>未保存</x:v>
      </x:c>
    </x:row>
    <x:row r="39" ht="92" customHeight="1">
      <x:c r="A39" s="24" t="str">
        <x:v>P035</x:v>
      </x:c>
      <x:c r="B39" s="24" t="str">
        <x:v>Napolitanas - 2008.JPG</x:v>
      </x:c>
      <x:c r="C39" s="24" t="str">
        <x:v>条件付き使用候補</x:v>
      </x:c>
      <x:c r="D39" s="24" t="str">
        <x:v>M072</x:v>
      </x:c>
      <x:c r="E39" s="24" t="str">
        <x:v>対象写真</x:v>
      </x:c>
      <x:c r="F39" s="24" t="str">
        <x:v>目視確認済</x:v>
      </x:c>
      <x:c r="G39" s="24" t="str">
        <x:v>Tamorlan</x:v>
      </x:c>
      <x:c r="H39" s="24" t="str">
        <x:v>CC BY 3.0</x:v>
      </x:c>
      <x:c r="I39" s="24" t="str">
        <x:v>2008-06-10</x:v>
      </x:c>
      <x:c r="J39" s="24" t="str">
        <x:v>3888×2592</x:v>
      </x:c>
      <x:c r="K39" s="24" t="str">
        <x:v>撮影地・店名未確認</x:v>
      </x:c>
      <x:c r="L39" s="24" t="str">
        <x:v>売り場に並ぶナポリターナ。</x:v>
      </x:c>
      <x:c r="M39" s="24" t="str">
        <x:v>商品札の古い価格は現行価格として使わない。La Mallorquina製とは未確認。</x:v>
      </x:c>
      <x:c r="N39" s="24" t="str">
        <x:v>Tamorlan / CC BY 3.0 / Wikimedia Commons</x:v>
      </x:c>
      <x:c r="O39" s="24" t="str">
        <x:v>https://commons.wikimedia.org/wiki/File:Napolitanas_-_2008.JPG</x:v>
      </x:c>
      <x:c r="P39" s="24" t="str">
        <x:v>https://upload.wikimedia.org/wikipedia/commons/f/f6/Napolitanas_-_2008.JPG</x:v>
      </x:c>
      <x:c r="Q39" s="24" t="str">
        <x:v>https://creativecommons.org/licenses/by/3.0/</x:v>
      </x:c>
      <x:c r="R39" s="24" t="str">
        <x:v>2026-09-27（前回の判定を継承）</x:v>
      </x:c>
      <x:c r="S39" s="24" t="str">
        <x:v>継承／再確認</x:v>
      </x:c>
      <x:c r="T39" s="24" t="str">
        <x:v>未保存</x:v>
      </x:c>
    </x:row>
    <x:row r="40" ht="92" customHeight="1">
      <x:c r="A40" s="22" t="str">
        <x:v>P036</x:v>
      </x:c>
      <x:c r="B40" s="22" t="str">
        <x:v>Panecillos de San Antón-2010 (Marquesita).jpg</x:v>
      </x:c>
      <x:c r="C40" s="22" t="str">
        <x:v>条件付き使用候補</x:v>
      </x:c>
      <x:c r="D40" s="22" t="str">
        <x:v>M066</x:v>
      </x:c>
      <x:c r="E40" s="22" t="str">
        <x:v>対象写真</x:v>
      </x:c>
      <x:c r="F40" s="22" t="str">
        <x:v>目視確認済</x:v>
      </x:c>
      <x:c r="G40" s="22" t="str">
        <x:v>Tamorlan</x:v>
      </x:c>
      <x:c r="H40" s="22" t="str">
        <x:v>CC BY 3.0</x:v>
      </x:c>
      <x:c r="I40" s="22" t="str">
        <x:v>未確定</x:v>
      </x:c>
      <x:c r="J40" s="22" t="str">
        <x:v>3888×2592</x:v>
      </x:c>
      <x:c r="K40" s="22" t="str">
        <x:v>La Marquesita（原典説明）</x:v>
      </x:c>
      <x:c r="L40" s="22" t="str">
        <x:v>十字の模様が付いたサン・アントンの焼き菓子。</x:v>
      </x:c>
      <x:c r="M40" s="22" t="str">
        <x:v>2010年ファイル名。現在営業の証拠にはしない。</x:v>
      </x:c>
      <x:c r="N40" s="22" t="str">
        <x:v>Tamorlan / CC BY 3.0 / Wikimedia Commons</x:v>
      </x:c>
      <x:c r="O40" s="22" t="str">
        <x:v>https://commons.wikimedia.org/wiki/File:Panecillos_de_San_Ant%C3%B3n-2010_%28Marquesita%29.jpg</x:v>
      </x:c>
      <x:c r="P40" s="22" t="str">
        <x:v>https://upload.wikimedia.org/wikipedia/commons/a/af/Panecillos_de_San_Ant%C3%B3n-2010_%28Marquesita%29.jpg</x:v>
      </x:c>
      <x:c r="Q40" s="22" t="str">
        <x:v>https://creativecommons.org/licenses/by/3.0/</x:v>
      </x:c>
      <x:c r="R40" s="22" t="str">
        <x:v>2026-09-27（前回の判定を継承）</x:v>
      </x:c>
      <x:c r="S40" s="22" t="str">
        <x:v>継承／再確認</x:v>
      </x:c>
      <x:c r="T40" s="22" t="str">
        <x:v>未保存</x:v>
      </x:c>
    </x:row>
    <x:row r="41" ht="92" customHeight="1">
      <x:c r="A41" s="24" t="str">
        <x:v>P037</x:v>
      </x:c>
      <x:c r="B41" s="24" t="str">
        <x:v>Pepito de ternera-2009.jpg</x:v>
      </x:c>
      <x:c r="C41" s="24" t="str">
        <x:v>条件付き使用候補</x:v>
      </x:c>
      <x:c r="D41" s="24" t="str">
        <x:v>M008</x:v>
      </x:c>
      <x:c r="E41" s="24" t="str">
        <x:v>対象写真</x:v>
      </x:c>
      <x:c r="F41" s="24" t="str">
        <x:v>目視確認済</x:v>
      </x:c>
      <x:c r="G41" s="24" t="str">
        <x:v>Tamorlan</x:v>
      </x:c>
      <x:c r="H41" s="24" t="str">
        <x:v>CC BY 3.0</x:v>
      </x:c>
      <x:c r="I41" s="24" t="str">
        <x:v>未確定</x:v>
      </x:c>
      <x:c r="J41" s="24" t="str">
        <x:v>3888×2592</x:v>
      </x:c>
      <x:c r="K41" s="24" t="str">
        <x:v>Madrid・Pepito fornos（原典説明）</x:v>
      </x:c>
      <x:c r="L41" s="24" t="str">
        <x:v>牛肉を挟んだペピートのパン。</x:v>
      </x:c>
      <x:c r="M41" s="24" t="str">
        <x:v>2009年ファイル名。現在の特定店の商品に紐付けない。</x:v>
      </x:c>
      <x:c r="N41" s="24" t="str">
        <x:v>Tamorlan / CC BY 3.0 / Wikimedia Commons</x:v>
      </x:c>
      <x:c r="O41" s="24" t="str">
        <x:v>https://commons.wikimedia.org/wiki/File:Pepito_de_ternera-2009.jpg</x:v>
      </x:c>
      <x:c r="P41" s="24" t="str">
        <x:v>https://upload.wikimedia.org/wikipedia/commons/a/a4/Pepito_de_ternera-2009.jpg</x:v>
      </x:c>
      <x:c r="Q41" s="24" t="str">
        <x:v>https://creativecommons.org/licenses/by/3.0/</x:v>
      </x:c>
      <x:c r="R41" s="24" t="str">
        <x:v>2026-09-27（前回の判定を継承）</x:v>
      </x:c>
      <x:c r="S41" s="24" t="str">
        <x:v>継承／再確認</x:v>
      </x:c>
      <x:c r="T41" s="24" t="str">
        <x:v>未保存</x:v>
      </x:c>
    </x:row>
    <x:row r="42" ht="92" customHeight="1">
      <x:c r="A42" s="22" t="str">
        <x:v>P038</x:v>
      </x:c>
      <x:c r="B42" s="22" t="str">
        <x:v>豚耳の鉄板焼き（Oreja de Oro）</x:v>
      </x:c>
      <x:c r="C42" s="22" t="str">
        <x:v>条件付き使用候補</x:v>
      </x:c>
      <x:c r="D42" s="22" t="str">
        <x:v>M007</x:v>
      </x:c>
      <x:c r="E42" s="22" t="str">
        <x:v>対象写真</x:v>
      </x:c>
      <x:c r="F42" s="22" t="str">
        <x:v>確認済</x:v>
      </x:c>
      <x:c r="G42" s="22" t="str">
        <x:v>Tamorlan</x:v>
      </x:c>
      <x:c r="H42" s="22" t="str">
        <x:v>CC BY 3.0</x:v>
      </x:c>
      <x:c r="I42" s="22" t="str">
        <x:v>撮影日未確認。2009-09-22アップロード</x:v>
      </x:c>
      <x:c r="J42" s="22" t="str">
        <x:v>3888×2592</x:v>
      </x:c>
      <x:c r="K42" s="22" t="str">
        <x:v>原典説明：マドリードのOreja de Oro</x:v>
      </x:c>
      <x:c r="L42" s="22" t="str">
        <x:v>豚耳の鉄板焼き。原典はマドリードのOreja de Oroの料理と説明。</x:v>
      </x:c>
      <x:c r="M42" s="22" t="str">
        <x:v>古い料理写真。現在の盛り付け・営業・メニューの証拠にはしない。作者表示、出典・ライセンスリンク、加工表示が必要。</x:v>
      </x:c>
      <x:c r="N42" s="22" t="str">
        <x:v>Tamorlan / CC BY 3.0 / 原典ページを併記</x:v>
      </x:c>
      <x:c r="O42" s="22" t="str">
        <x:v>https://commons.wikimedia.org/wiki/File:Oreja_a_la_plancha-Oreja_de_Oro.jpg</x:v>
      </x:c>
      <x:c r="P42" s="22" t="str">
        <x:v>https://thumb.wikimedia.org/wikipedia/commons/thumb/b/b2/Oreja_a_la_plancha-Oreja_de_Oro.jpg/960px-Oreja_a_la_plancha-Oreja_de_Oro.jpg</x:v>
      </x:c>
      <x:c r="Q42" s="22" t="str">
        <x:v>https://creativecommons.org/licenses/by/3.0/</x:v>
      </x:c>
      <x:c r="R42" s="22" t="str">
        <x:v>2026-09-27（前回の判定を継承）</x:v>
      </x:c>
      <x:c r="S42" s="22" t="str">
        <x:v>継承／再確認</x:v>
      </x:c>
      <x:c r="T42" s="22" t="str">
        <x:v>未保存</x:v>
      </x:c>
    </x:row>
    <x:row r="43" ht="92" customHeight="1">
      <x:c r="A43" s="24" t="str">
        <x:v>P039</x:v>
      </x:c>
      <x:c r="B43" s="24" t="str">
        <x:v>ラ・マヨルキーナのトリハス</x:v>
      </x:c>
      <x:c r="C43" s="24" t="str">
        <x:v>条件付き使用候補</x:v>
      </x:c>
      <x:c r="D43" s="24" t="str">
        <x:v>M063</x:v>
      </x:c>
      <x:c r="E43" s="24" t="str">
        <x:v>対象写真</x:v>
      </x:c>
      <x:c r="F43" s="24" t="str">
        <x:v>確認済</x:v>
      </x:c>
      <x:c r="G43" s="24" t="str">
        <x:v>Tamorlan</x:v>
      </x:c>
      <x:c r="H43" s="24" t="str">
        <x:v>CC BY-SA 3.0</x:v>
      </x:c>
      <x:c r="I43" s="24" t="str">
        <x:v>撮影日未確認。2010-03-20アップロード</x:v>
      </x:c>
      <x:c r="J43" s="24" t="str">
        <x:v>3888×2592</x:v>
      </x:c>
      <x:c r="K43" s="24" t="str">
        <x:v>原典説明：マドリードのLa Mallorquina</x:v>
      </x:c>
      <x:c r="L43" s="24" t="str">
        <x:v>ラ・マヨルキーナの店頭に並ぶトリハス。古い記録写真。</x:v>
      </x:c>
      <x:c r="M43" s="24" t="str">
        <x:v>写真内の値札を現在価格として使わない。CC BY-SAの継承条件、作者・出典・ライセンス表示、加工表示を確認。</x:v>
      </x:c>
      <x:c r="N43" s="24" t="str">
        <x:v>Tamorlan / CC BY-SA 3.0 / 原典ページを併記</x:v>
      </x:c>
      <x:c r="O43" s="24" t="str">
        <x:v>https://commons.wikimedia.org/wiki/File:Torrijas_(Malloquina).jpg</x:v>
      </x:c>
      <x:c r="P43" s="24" t="str">
        <x:v>https://thumb.wikimedia.org/wikipedia/commons/thumb/0/09/Torrijas_%28Malloquina%29.jpg/960px-Torrijas_%28Malloquina%29.jpg</x:v>
      </x:c>
      <x:c r="Q43" s="24" t="str">
        <x:v>https://creativecommons.org/licenses/by-sa/3.0/</x:v>
      </x:c>
      <x:c r="R43" s="24" t="str">
        <x:v>2026-09-27（前回の判定を継承）</x:v>
      </x:c>
      <x:c r="S43" s="24" t="str">
        <x:v>継承／再確認</x:v>
      </x:c>
      <x:c r="T43" s="24" t="str">
        <x:v>未保存</x:v>
      </x:c>
    </x:row>
    <x:row r="44" ht="92" customHeight="1">
      <x:c r="A44" s="22" t="str">
        <x:v>P040</x:v>
      </x:c>
      <x:c r="B44" s="22" t="str">
        <x:v>トリハとフォーク（一般的な料理写真）</x:v>
      </x:c>
      <x:c r="C44" s="22" t="str">
        <x:v>条件付き使用候補</x:v>
      </x:c>
      <x:c r="D44" s="22" t="str">
        <x:v>M063</x:v>
      </x:c>
      <x:c r="E44" s="22" t="str">
        <x:v>対象写真</x:v>
      </x:c>
      <x:c r="F44" s="22" t="str">
        <x:v>確認済</x:v>
      </x:c>
      <x:c r="G44" s="22" t="str">
        <x:v>Eduardo / tnarik</x:v>
      </x:c>
      <x:c r="H44" s="22" t="str">
        <x:v>CC BY-SA 2.0</x:v>
      </x:c>
      <x:c r="I44" s="22" t="str">
        <x:v>2009-04-12（原典記載）</x:v>
      </x:c>
      <x:c r="J44" s="22" t="str">
        <x:v>3072×2304</x:v>
      </x:c>
      <x:c r="K44" s="22" t="str">
        <x:v>マドリードで撮影されたことは未確認</x:v>
      </x:c>
      <x:c r="L44" s="22" t="str">
        <x:v>皿に盛られたトリハ。料理の姿を説明する参考写真。</x:v>
      </x:c>
      <x:c r="M44" s="22" t="str">
        <x:v>マドリード現地の店の料理とは書かない。Flickr由来、Commonsの権利レビューを確認。Flickr原典の現在表示は再取得できず。</x:v>
      </x:c>
      <x:c r="N44" s="22" t="str">
        <x:v>Eduardo / tnarik / CC BY-SA 2.0 / 原典ページを併記</x:v>
      </x:c>
      <x:c r="O44" s="22" t="str">
        <x:v>https://commons.wikimedia.org/wiki/File:Torrija_y_tenedor.jpg</x:v>
      </x:c>
      <x:c r="P44" s="22" t="str">
        <x:v>https://thumb.wikimedia.org/wikipedia/commons/thumb/a/a2/Torrija_y_tenedor.jpg/960px-Torrija_y_tenedor.jpg</x:v>
      </x:c>
      <x:c r="Q44" s="22" t="str">
        <x:v>https://creativecommons.org/licenses/by-sa/2.0/</x:v>
      </x:c>
      <x:c r="R44" s="22" t="str">
        <x:v>2026-09-27（前回の判定を継承）</x:v>
      </x:c>
      <x:c r="S44" s="22" t="str">
        <x:v>継承／再確認</x:v>
      </x:c>
      <x:c r="T44" s="22" t="str">
        <x:v>未保存</x:v>
      </x:c>
    </x:row>
    <x:row r="45" ht="92" customHeight="1">
      <x:c r="A45" s="24" t="str">
        <x:v>P041</x:v>
      </x:c>
      <x:c r="B45" s="24" t="str">
        <x:v>ウエソス・デ・サント（別原典の代替候補）</x:v>
      </x:c>
      <x:c r="C45" s="24" t="str">
        <x:v>条件付き使用候補</x:v>
      </x:c>
      <x:c r="D45" s="24" t="str">
        <x:v>M068</x:v>
      </x:c>
      <x:c r="E45" s="24" t="str">
        <x:v>対象写真</x:v>
      </x:c>
      <x:c r="F45" s="24" t="str">
        <x:v>確認済</x:v>
      </x:c>
      <x:c r="G45" s="24" t="str">
        <x:v>Tamorlan</x:v>
      </x:c>
      <x:c r="H45" s="24" t="str">
        <x:v>CC BY 3.0</x:v>
      </x:c>
      <x:c r="I45" s="24" t="str">
        <x:v>2009-10-17（Exif）</x:v>
      </x:c>
      <x:c r="J45" s="24" t="str">
        <x:v>3888×2592</x:v>
      </x:c>
      <x:c r="K45" s="24" t="str">
        <x:v>撮影店舗・都市未確認</x:v>
      </x:c>
      <x:c r="L45" s="24" t="str">
        <x:v>筒形のウエソス・デ・サントが並ぶ。</x:v>
      </x:c>
      <x:c r="M45" s="24" t="str">
        <x:v>既存P017とは別ファイル。P017の権利保留を解除したわけではない。特定のマドリード店と結び付けない。</x:v>
      </x:c>
      <x:c r="N45" s="24" t="str">
        <x:v>Tamorlan / CC BY 3.0 / 原典ページを併記</x:v>
      </x:c>
      <x:c r="O45" s="24" t="str">
        <x:v>https://commons.wikimedia.org/wiki/File:Huesitos_del_Santo.jpg</x:v>
      </x:c>
      <x:c r="P45" s="24" t="str">
        <x:v>https://thumb.wikimedia.org/wikipedia/commons/thumb/d/d1/Huesitos_del_Santo.jpg/960px-Huesitos_del_Santo.jpg</x:v>
      </x:c>
      <x:c r="Q45" s="24" t="str">
        <x:v>https://creativecommons.org/licenses/by/3.0/</x:v>
      </x:c>
      <x:c r="R45" s="24" t="str">
        <x:v>2026-09-27（前回の判定を継承）</x:v>
      </x:c>
      <x:c r="S45" s="24" t="str">
        <x:v>継承／再確認</x:v>
      </x:c>
      <x:c r="T45" s="24" t="str">
        <x:v>未保存</x:v>
      </x:c>
    </x:row>
    <x:row r="46" ht="92" customHeight="1">
      <x:c r="A46" s="22" t="str">
        <x:v>P042</x:v>
      </x:c>
      <x:c r="B46" s="22" t="str">
        <x:v>アルカラのコストラーダ・全体</x:v>
      </x:c>
      <x:c r="C46" s="22" t="str">
        <x:v>条件付き使用候補</x:v>
      </x:c>
      <x:c r="D46" s="22" t="str">
        <x:v>M082</x:v>
      </x:c>
      <x:c r="E46" s="22" t="str">
        <x:v>対象写真</x:v>
      </x:c>
      <x:c r="F46" s="22" t="str">
        <x:v>確認済</x:v>
      </x:c>
      <x:c r="G46" s="22" t="str">
        <x:v>Raimundo Pastor</x:v>
      </x:c>
      <x:c r="H46" s="22" t="str">
        <x:v>CC BY-SA 4.0</x:v>
      </x:c>
      <x:c r="I46" s="22" t="str">
        <x:v>2012-12-18（原典記載）</x:v>
      </x:c>
      <x:c r="J46" s="22" t="str">
        <x:v>1547×1076</x:v>
      </x:c>
      <x:c r="K46" s="22" t="str">
        <x:v>料理名はアルカラ・デ・エナレス。店名未確認</x:v>
      </x:c>
      <x:c r="L46" s="22" t="str">
        <x:v>アルカラ・デ・エナレスの菓子、コストラーダの全体像。</x:v>
      </x:c>
      <x:c r="M46" s="22" t="str">
        <x:v>P043とは撮影日が異なる。ひとつのケーキを切った連続工程写真として扱わない。</x:v>
      </x:c>
      <x:c r="N46" s="22" t="str">
        <x:v>Raimundo Pastor / CC BY-SA 4.0 / 原典ページを併記</x:v>
      </x:c>
      <x:c r="O46" s="22" t="str">
        <x:v>https://commons.wikimedia.org/wiki/File:Costrada_de_Alcal%C3%A1_de_Henares_(RPS_18-12-2012).png</x:v>
      </x:c>
      <x:c r="P46" s="22" t="str">
        <x:v>https://thumb.wikimedia.org/wikipedia/commons/thumb/8/82/Costrada_de_Alcal%C3%A1_de_Henares_%28RPS_18-12-2012%29.png/960px-Costrada_de_Alcal%C3%A1_de_Henares_%28RPS_18-12-2012%29.png</x:v>
      </x:c>
      <x:c r="Q46" s="22" t="str">
        <x:v>https://creativecommons.org/licenses/by-sa/4.0/</x:v>
      </x:c>
      <x:c r="R46" s="22" t="str">
        <x:v>2026-09-27（前回の判定を継承）</x:v>
      </x:c>
      <x:c r="S46" s="22" t="str">
        <x:v>継承／再確認</x:v>
      </x:c>
      <x:c r="T46" s="22" t="str">
        <x:v>未保存</x:v>
      </x:c>
    </x:row>
    <x:row r="47" ht="92" customHeight="1">
      <x:c r="A47" s="24" t="str">
        <x:v>P043</x:v>
      </x:c>
      <x:c r="B47" s="24" t="str">
        <x:v>アルカラのコストラーダ・断面</x:v>
      </x:c>
      <x:c r="C47" s="24" t="str">
        <x:v>条件付き使用候補</x:v>
      </x:c>
      <x:c r="D47" s="24" t="str">
        <x:v>M082</x:v>
      </x:c>
      <x:c r="E47" s="24" t="str">
        <x:v>対象写真</x:v>
      </x:c>
      <x:c r="F47" s="24" t="str">
        <x:v>確認済</x:v>
      </x:c>
      <x:c r="G47" s="24" t="str">
        <x:v>Raimundo Pastor</x:v>
      </x:c>
      <x:c r="H47" s="24" t="str">
        <x:v>CC BY-SA 4.0</x:v>
      </x:c>
      <x:c r="I47" s="24" t="str">
        <x:v>2014-11-08（原典記載）</x:v>
      </x:c>
      <x:c r="J47" s="24" t="str">
        <x:v>3855×1976</x:v>
      </x:c>
      <x:c r="K47" s="24" t="str">
        <x:v>料理名はアルカラ・デ・エナレス。店名未確認</x:v>
      </x:c>
      <x:c r="L47" s="24" t="str">
        <x:v>コストラーダの断面。生地とクリームの層が見える。</x:v>
      </x:c>
      <x:c r="M47" s="24" t="str">
        <x:v>写真からすべての材料を断定しない。白い層の材料や配合は作り手ごとに確認。P042と同じ個体ではない。</x:v>
      </x:c>
      <x:c r="N47" s="24" t="str">
        <x:v>Raimundo Pastor / CC BY-SA 4.0 / 原典ページを併記</x:v>
      </x:c>
      <x:c r="O47" s="24" t="str">
        <x:v>https://commons.wikimedia.org/wiki/File:Costrada_de_Alcal%C3%A1_Henares_(RPS_08-11-2014)_porci%C3%B3n.png</x:v>
      </x:c>
      <x:c r="P47" s="24" t="str">
        <x:v>https://thumb.wikimedia.org/wikipedia/commons/thumb/b/b1/Costrada_de_Alcal%C3%A1_Henares_%28RPS_08-11-2014%29_porci%C3%B3n.png/960px-Costrada_de_Alcal%C3%A1_Henares_%28RPS_08-11-2014%29_porci%C3%B3n.png</x:v>
      </x:c>
      <x:c r="Q47" s="24" t="str">
        <x:v>https://creativecommons.org/licenses/by-sa/4.0/</x:v>
      </x:c>
      <x:c r="R47" s="24" t="str">
        <x:v>2026-09-27（前回の判定を継承）</x:v>
      </x:c>
      <x:c r="S47" s="24" t="str">
        <x:v>継承／再確認</x:v>
      </x:c>
      <x:c r="T47" s="24" t="str">
        <x:v>未保存</x:v>
      </x:c>
    </x:row>
    <x:row r="48" ht="92" customHeight="1">
      <x:c r="A48" s="22" t="str">
        <x:v>P044</x:v>
      </x:c>
      <x:c r="B48" s="22" t="str">
        <x:v>ロスキージャス・デ・アルカラ（追補候補）</x:v>
      </x:c>
      <x:c r="C48" s="22" t="str">
        <x:v>条件付き使用候補</x:v>
      </x:c>
      <x:c r="D48" s="22" t="str"/>
      <x:c r="E48" s="22" t="str">
        <x:v>名所・背景／参考</x:v>
      </x:c>
      <x:c r="F48" s="22" t="str">
        <x:v>確認済</x:v>
      </x:c>
      <x:c r="G48" s="22" t="str">
        <x:v>Tamorlan</x:v>
      </x:c>
      <x:c r="H48" s="22" t="str">
        <x:v>CC BY 3.0</x:v>
      </x:c>
      <x:c r="I48" s="22" t="str">
        <x:v>2009-08-10（Exif）</x:v>
      </x:c>
      <x:c r="J48" s="22" t="str">
        <x:v>3888×2592</x:v>
      </x:c>
      <x:c r="K48" s="22" t="str">
        <x:v>料理名はアルカラ。撮影店舗未確認</x:v>
      </x:c>
      <x:c r="L48" s="22" t="str">
        <x:v>表面につやのある輪形のロスキージャス・デ・アルカラ。</x:v>
      </x:c>
      <x:c r="M48" s="22" t="str">
        <x:v>サン・イシドロのロスキージャスM065と同じ菓子として代用しない。100品の内訳を勝手に変更せず、追補候補とする。</x:v>
      </x:c>
      <x:c r="N48" s="22" t="str">
        <x:v>Tamorlan / CC BY 3.0 / 原典ページを併記</x:v>
      </x:c>
      <x:c r="O48" s="22" t="str">
        <x:v>https://commons.wikimedia.org/wiki/File:Rosquillas_de_Alcal%C3%A1-2009.jpg</x:v>
      </x:c>
      <x:c r="P48" s="22" t="str">
        <x:v>https://thumb.wikimedia.org/wikipedia/commons/thumb/7/73/Rosquillas_de_Alcal%C3%A1-2009.jpg/960px-Rosquillas_de_Alcal%C3%A1-2009.jpg</x:v>
      </x:c>
      <x:c r="Q48" s="22" t="str">
        <x:v>https://creativecommons.org/licenses/by/3.0/</x:v>
      </x:c>
      <x:c r="R48" s="22" t="str">
        <x:v>2026-09-27（前回の判定を継承）</x:v>
      </x:c>
      <x:c r="S48" s="22" t="str">
        <x:v>継承／再確認</x:v>
      </x:c>
      <x:c r="T48" s="22" t="str">
        <x:v>未保存</x:v>
      </x:c>
    </x:row>
    <x:row r="49" ht="92" customHeight="1">
      <x:c r="A49" s="24" t="str">
        <x:v>P045</x:v>
      </x:c>
      <x:c r="B49" s="24" t="str">
        <x:v>マヨール広場周辺のアーチ（Unsplash）</x:v>
      </x:c>
      <x:c r="C49" s="24" t="str">
        <x:v>ライセンス確認済・目視未了</x:v>
      </x:c>
      <x:c r="D49" s="24" t="str"/>
      <x:c r="E49" s="24" t="str">
        <x:v>名所・背景／参考</x:v>
      </x:c>
      <x:c r="F49" s="24" t="str">
        <x:v>未確認</x:v>
      </x:c>
      <x:c r="G49" s="24" t="str">
        <x:v>Alex Quezada / @alex_quezada</x:v>
      </x:c>
      <x:c r="H49" s="24" t="str">
        <x:v>Unsplash License</x:v>
      </x:c>
      <x:c r="I49" s="24" t="str">
        <x:v>2022-04-07公開。撮影日未確認</x:v>
      </x:c>
      <x:c r="J49" s="24" t="str">
        <x:v>未確認</x:v>
      </x:c>
      <x:c r="K49" s="24" t="str">
        <x:v>ページの場所情報：Madrid</x:v>
      </x:c>
      <x:c r="L49" s="24" t="str">
        <x:v>アーチを写した都市写真の候補。被写体の最終同定は未了。</x:v>
      </x:c>
      <x:c r="M49" s="24" t="str">
        <x:v>プレビュー取得に失敗。採用可の写真に数えない。Unsplashライセンスと第三者の権利は別に確認。</x:v>
      </x:c>
      <x:c r="N49" s="24" t="str">
        <x:v>Alex Quezada / @alex_quezada / Unsplash License / 原典ページを併記</x:v>
      </x:c>
      <x:c r="O49" s="24" t="str">
        <x:v>https://unsplash.com/photos/an-archway-between-two-buildings-in-a-city-hjrbxmVuSis</x:v>
      </x:c>
      <x:c r="P49" s="24"/>
      <x:c r="Q49" s="24" t="str">
        <x:v>https://unsplash.com/license</x:v>
      </x:c>
      <x:c r="R49" s="24" t="str">
        <x:v>2026-09-27（前回の判定を継承）</x:v>
      </x:c>
      <x:c r="S49" s="24" t="str">
        <x:v>継承／再確認</x:v>
      </x:c>
      <x:c r="T49" s="24" t="str">
        <x:v>未保存</x:v>
      </x:c>
    </x:row>
    <x:row r="50" ht="92" customHeight="1">
      <x:c r="A50" s="22" t="str">
        <x:v>P046</x:v>
      </x:c>
      <x:c r="B50" s="22" t="str">
        <x:v>ラ・ボラの土鍋と炭火（店公式）</x:v>
      </x:c>
      <x:c r="C50" s="22" t="str">
        <x:v>参考のみ・転載は許諾待ち</x:v>
      </x:c>
      <x:c r="D50" s="22" t="str">
        <x:v>M001</x:v>
      </x:c>
      <x:c r="E50" s="22" t="str">
        <x:v>対象写真</x:v>
      </x:c>
      <x:c r="F50" s="22" t="str">
        <x:v>確認済</x:v>
      </x:c>
      <x:c r="G50" s="22" t="str">
        <x:v>撮影者不明／掲載元La Bola</x:v>
      </x:c>
      <x:c r="H50" s="22" t="str">
        <x:v>商用転載許諾未確認</x:v>
      </x:c>
      <x:c r="I50" s="22" t="str">
        <x:v>撮影日未確認</x:v>
      </x:c>
      <x:c r="J50" s="22" t="str">
        <x:v>原画像寸法未確認</x:v>
      </x:c>
      <x:c r="K50" s="22" t="str">
        <x:v>La Bola公式の調理写真</x:v>
      </x:c>
      <x:c r="L50" s="22" t="str">
        <x:v>炭火の上に並ぶコシードの土鍋。調理法の参考資料。</x:v>
      </x:c>
      <x:c r="M50" s="22" t="str">
        <x:v>店公式に掲載されているだけでは転載自由ではない。商用転載許諾を得るまで記事用素材に数えない。</x:v>
      </x:c>
      <x:c r="N50" s="22" t="str">
        <x:v>撮影者不明／掲載元La Bola / 商用転載許諾未確認 / 原典ページを併記</x:v>
      </x:c>
      <x:c r="O50" s="22" t="str">
        <x:v>https://labola.es/en</x:v>
      </x:c>
      <x:c r="P50" s="22" t="str">
        <x:v>https://labola.es/_next/image?q=75&amp;url=%2Fimg%2Fweb%2Fpucheros-cocido.jpg&amp;w=3840</x:v>
      </x:c>
      <x:c r="Q50" s="22"/>
      <x:c r="R50" s="22" t="str">
        <x:v>2026-09-27（前回の判定を継承）</x:v>
      </x:c>
      <x:c r="S50" s="22" t="str">
        <x:v>継承／再確認</x:v>
      </x:c>
      <x:c r="T50" s="22" t="str">
        <x:v>未保存</x:v>
      </x:c>
    </x:row>
    <x:row r="51" ht="92" customHeight="1">
      <x:c r="A51" s="24" t="str">
        <x:v>P047</x:v>
      </x:c>
      <x:c r="B51" s="24" t="str">
        <x:v>ラ・ボラのコシード一式（店公式）</x:v>
      </x:c>
      <x:c r="C51" s="24" t="str">
        <x:v>参考のみ・転載は許諾待ち</x:v>
      </x:c>
      <x:c r="D51" s="24" t="str">
        <x:v>M001</x:v>
      </x:c>
      <x:c r="E51" s="24" t="str">
        <x:v>対象写真</x:v>
      </x:c>
      <x:c r="F51" s="24" t="str">
        <x:v>確認済</x:v>
      </x:c>
      <x:c r="G51" s="24" t="str">
        <x:v>撮影者不明／掲載元La Bola</x:v>
      </x:c>
      <x:c r="H51" s="24" t="str">
        <x:v>商用転載許諾未確認</x:v>
      </x:c>
      <x:c r="I51" s="24" t="str">
        <x:v>撮影日未確認</x:v>
      </x:c>
      <x:c r="J51" s="24" t="str">
        <x:v>原画像寸法未確認</x:v>
      </x:c>
      <x:c r="K51" s="24" t="str">
        <x:v>La Bola公式の料理写真</x:v>
      </x:c>
      <x:c r="L51" s="24" t="str">
        <x:v>土鍋、スープ、具を組み合わせたコシードの紹介写真。</x:v>
      </x:c>
      <x:c r="M51" s="24" t="str">
        <x:v>写真の皿数から提供回数を数えない。La Bolaは本文で2段階の提供を説明。転載許諾は別途必要。</x:v>
      </x:c>
      <x:c r="N51" s="24" t="str">
        <x:v>撮影者不明／掲載元La Bola / 商用転載許諾未確認 / 原典ページを併記</x:v>
      </x:c>
      <x:c r="O51" s="24" t="str">
        <x:v>https://labola.es/en</x:v>
      </x:c>
      <x:c r="P51" s="24" t="str">
        <x:v>https://labola.es/_next/image?q=75&amp;url=%2Fimg%2Fweb%2FDSC_0439.jpg&amp;w=3840</x:v>
      </x:c>
      <x:c r="Q51" s="24"/>
      <x:c r="R51" s="24" t="str">
        <x:v>2026-09-27（前回の判定を継承）</x:v>
      </x:c>
      <x:c r="S51" s="24" t="str">
        <x:v>継承／再確認</x:v>
      </x:c>
      <x:c r="T51" s="24" t="str">
        <x:v>未保存</x:v>
      </x:c>
    </x:row>
    <x:row r="52" ht="92" customHeight="1">
      <x:c r="A52" s="22" t="str">
        <x:v>P048</x:v>
      </x:c>
      <x:c r="B52" s="22" t="str">
        <x:v>王宮の王室厨房（市観光局掲載）</x:v>
      </x:c>
      <x:c r="C52" s="22" t="str">
        <x:v>参考のみ・転載は許諾待ち</x:v>
      </x:c>
      <x:c r="D52" s="22" t="str"/>
      <x:c r="E52" s="22" t="str">
        <x:v>名所・背景／参考</x:v>
      </x:c>
      <x:c r="F52" s="22" t="str">
        <x:v>確認済</x:v>
      </x:c>
      <x:c r="G52" s="22" t="str">
        <x:v>撮影者・権利者は要照会／掲載元esmadrid</x:v>
      </x:c>
      <x:c r="H52" s="22" t="str">
        <x:v>商用転載許諾未確認</x:v>
      </x:c>
      <x:c r="I52" s="22" t="str">
        <x:v>撮影日未確認</x:v>
      </x:c>
      <x:c r="J52" s="22" t="str">
        <x:v>表示画像660×335</x:v>
      </x:c>
      <x:c r="K52" s="22" t="str">
        <x:v>マドリード王宮・Real Cocina</x:v>
      </x:c>
      <x:c r="L52" s="22" t="str">
        <x:v>銅製の調理器具と設備が並ぶ王室厨房。</x:v>
      </x:c>
      <x:c r="M52" s="22" t="str">
        <x:v>市観光局掲載は自由転載許可ではない。撮影者・権利者・許諾範囲を問い合わせる。</x:v>
      </x:c>
      <x:c r="N52" s="22" t="str">
        <x:v>撮影者・権利者は要照会／掲載元esmadrid / 商用転載許諾未確認 / 原典ページを併記</x:v>
      </x:c>
      <x:c r="O52" s="22" t="str">
        <x:v>https://www.esmadrid.com/informacion-turistica/palacio-real</x:v>
      </x:c>
      <x:c r="P52" s="22" t="str">
        <x:v>https://estaticos.esmadrid.com/cdn/farfuture/56bDmm51zWEqtzUOtLKTKS1YaszMqLR0-hr6wpCDUYQ/mtime%3A1646729446/sites/default/files/styles/content_type_full/public/recursosturisticos/infoturistica/realcocina.jpg?itok=bLaBURnZ</x:v>
      </x:c>
      <x:c r="Q52" s="22"/>
      <x:c r="R52" s="22" t="str">
        <x:v>2026-09-27（前回の判定を継承）</x:v>
      </x:c>
      <x:c r="S52" s="22" t="str">
        <x:v>継承／再確認</x:v>
      </x:c>
      <x:c r="T52" s="22" t="str">
        <x:v>未保存</x:v>
      </x:c>
    </x:row>
    <x:row r="53" ht="92" customHeight="1">
      <x:c r="A53" s="24" t="str">
        <x:v>P049</x:v>
      </x:c>
      <x:c r="B53" s="24" t="str">
        <x:v>トルティージャ（Flickr調査候補）</x:v>
      </x:c>
      <x:c r="C53" s="24" t="str">
        <x:v>非商用限定・商用記事から除外</x:v>
      </x:c>
      <x:c r="D53" s="24" t="str">
        <x:v>M023</x:v>
      </x:c>
      <x:c r="E53" s="24" t="str">
        <x:v>対象写真</x:v>
      </x:c>
      <x:c r="F53" s="24" t="str">
        <x:v>未確認</x:v>
      </x:c>
      <x:c r="G53" s="24" t="str">
        <x:v>Antonio Delgado</x:v>
      </x:c>
      <x:c r="H53" s="24" t="str">
        <x:v>CC BY-NC-SA 2.0</x:v>
      </x:c>
      <x:c r="I53" s="24" t="str">
        <x:v>撮影2013-09-17／公開2014-02-13</x:v>
      </x:c>
      <x:c r="J53" s="24" t="str">
        <x:v>未確認</x:v>
      </x:c>
      <x:c r="K53" s="24" t="str">
        <x:v>現在の店名・提供状況未確認</x:v>
      </x:c>
      <x:c r="L53" s="24" t="str">
        <x:v>料理写真の探索候補。</x:v>
      </x:c>
      <x:c r="M53" s="24" t="str">
        <x:v>非商用条件があるため営利サイトへの転載候補には入れない。料理の見た目・現地性の最終確認も未了。</x:v>
      </x:c>
      <x:c r="N53" s="24" t="str">
        <x:v>Antonio Delgado / CC BY-NC-SA 2.0 / 原典ページを併記</x:v>
      </x:c>
      <x:c r="O53" s="24" t="str">
        <x:v>https://www.flickr.com/photos/adelgado/12500761385/</x:v>
      </x:c>
      <x:c r="P53" s="24"/>
      <x:c r="Q53" s="24" t="str">
        <x:v>https://creativecommons.org/licenses/by-nc-sa/2.0/</x:v>
      </x:c>
      <x:c r="R53" s="24" t="str">
        <x:v>2026-09-27（前回の判定を継承）</x:v>
      </x:c>
      <x:c r="S53" s="24" t="str">
        <x:v>継承／再確認</x:v>
      </x:c>
      <x:c r="T53" s="24" t="str">
        <x:v>未保存</x:v>
      </x:c>
    </x:row>
    <x:row r="54" ht="92" customHeight="1">
      <x:c r="A54" s="22" t="str">
        <x:v>P050</x:v>
      </x:c>
      <x:c r="B54" s="22" t="str">
        <x:v>トリハ（Flickr調査候補）</x:v>
      </x:c>
      <x:c r="C54" s="22" t="str">
        <x:v>非商用限定・商用記事から除外</x:v>
      </x:c>
      <x:c r="D54" s="22" t="str">
        <x:v>M063</x:v>
      </x:c>
      <x:c r="E54" s="22" t="str">
        <x:v>対象写真</x:v>
      </x:c>
      <x:c r="F54" s="22" t="str">
        <x:v>未確認</x:v>
      </x:c>
      <x:c r="G54" s="22" t="str">
        <x:v>Javier Collado Jiménez</x:v>
      </x:c>
      <x:c r="H54" s="22" t="str">
        <x:v>CC BY-NC-SA 2.0</x:v>
      </x:c>
      <x:c r="I54" s="22" t="str">
        <x:v>2014-03-16（原典記載）</x:v>
      </x:c>
      <x:c r="J54" s="22" t="str">
        <x:v>未確認</x:v>
      </x:c>
      <x:c r="K54" s="22" t="str">
        <x:v>マドリード現地性未確認</x:v>
      </x:c>
      <x:c r="L54" s="22" t="str">
        <x:v>トリハの探索候補。</x:v>
      </x:c>
      <x:c r="M54" s="22" t="str">
        <x:v>非商用条件があるため営利サイトへの転載候補には入れない。タグだけで撮影場所を確定しない。</x:v>
      </x:c>
      <x:c r="N54" s="22" t="str">
        <x:v>Javier Collado Jiménez / CC BY-NC-SA 2.0 / 原典ページを併記</x:v>
      </x:c>
      <x:c r="O54" s="22" t="str">
        <x:v>https://www.flickr.com/photos/colladoman/13193035543/</x:v>
      </x:c>
      <x:c r="P54" s="22"/>
      <x:c r="Q54" s="22" t="str">
        <x:v>https://creativecommons.org/licenses/by-nc-sa/2.0/</x:v>
      </x:c>
      <x:c r="R54" s="22" t="str">
        <x:v>2026-09-27（前回の判定を継承）</x:v>
      </x:c>
      <x:c r="S54" s="22" t="str">
        <x:v>継承／再確認</x:v>
      </x:c>
      <x:c r="T54" s="22" t="str">
        <x:v>未保存</x:v>
      </x:c>
    </x:row>
    <x:row r="55" ht="92" customHeight="1">
      <x:c r="A55" s="24" t="str">
        <x:v>P051</x:v>
      </x:c>
      <x:c r="B55" s="24" t="str">
        <x:v>棒に羊の腸を巻いたサラホス</x:v>
      </x:c>
      <x:c r="C55" s="24" t="str">
        <x:v>条件付き使用候補</x:v>
      </x:c>
      <x:c r="D55" s="24" t="str">
        <x:v>M006</x:v>
      </x:c>
      <x:c r="E55" s="24" t="str">
        <x:v>対象写真</x:v>
      </x:c>
      <x:c r="F55" s="24" t="str">
        <x:v>今回確認済</x:v>
      </x:c>
      <x:c r="G55" s="24" t="str">
        <x:v>Tamorlan</x:v>
      </x:c>
      <x:c r="H55" s="24" t="str">
        <x:v>CC BY-SA 3.0</x:v>
      </x:c>
      <x:c r="I55" s="24" t="str">
        <x:v>2008-08-17</x:v>
      </x:c>
      <x:c r="J55" s="24" t="str">
        <x:v>3888 × 2592</x:v>
      </x:c>
      <x:c r="K55" s="24" t="str">
        <x:v>撮影地未確認。店舗・Madridを裏付けない。</x:v>
      </x:c>
      <x:c r="L55" s="24" t="str">
        <x:v>棒に羊の腸を巻いたサラホス。形状を示す参考写真（2008年）。加熱段階・撮影店は未確認。</x:v>
      </x:c>
      <x:c r="M55" s="24" t="str">
        <x:v>ケース内の成形品。揚げたての完成皿、Casa Enriquetaの現行商品とは説明しない。</x:v>
      </x:c>
      <x:c r="N55" s="24" t="str">
        <x:v>Tamorlan / Wikimedia Commons / CC BY-SA 3.0（変更する場合は内容を追記）</x:v>
      </x:c>
      <x:c r="O55" s="24" t="str">
        <x:v>https://commons.wikimedia.org/wiki/File:Zarajos.jpg</x:v>
      </x:c>
      <x:c r="P55" s="24" t="str">
        <x:v>https://upload.wikimedia.org/wikipedia/commons/2/2a/Zarajos.jpg</x:v>
      </x:c>
      <x:c r="Q55" s="24" t="str">
        <x:v>https://creativecommons.org/licenses/by-sa/3.0/</x:v>
      </x:c>
      <x:c r="R55" s="24" t="str">
        <x:v>2026-09-28</x:v>
      </x:c>
      <x:c r="S55" s="24" t="str">
        <x:v>追加</x:v>
      </x:c>
      <x:c r="T55" s="24" t="str">
        <x:v>未保存</x:v>
      </x:c>
    </x:row>
    <x:row r="56" ht="92" customHeight="1">
      <x:c r="A56" s="22" t="str">
        <x:v>P052</x:v>
      </x:c>
      <x:c r="B56" s="22" t="str">
        <x:v>パタタス・ブラバス（Lavapiesという題名）</x:v>
      </x:c>
      <x:c r="C56" s="22" t="str">
        <x:v>条件付き使用候補</x:v>
      </x:c>
      <x:c r="D56" s="22" t="str">
        <x:v>M021</x:v>
      </x:c>
      <x:c r="E56" s="22" t="str">
        <x:v>対象写真</x:v>
      </x:c>
      <x:c r="F56" s="22" t="str">
        <x:v>今回確認済</x:v>
      </x:c>
      <x:c r="G56" s="22" t="str">
        <x:v>Tamorlan</x:v>
      </x:c>
      <x:c r="H56" s="22" t="str">
        <x:v>CC BY 3.0</x:v>
      </x:c>
      <x:c r="I56" s="22" t="str">
        <x:v>2009-07-26</x:v>
      </x:c>
      <x:c r="J56" s="22" t="str">
        <x:v>3888 × 2592</x:v>
      </x:c>
      <x:c r="K56" s="22" t="str">
        <x:v>原題にLavapies。店名・GPSの独立確認なし。</x:v>
      </x:c>
      <x:c r="L56" s="22" t="str">
        <x:v>大きめに切ったジャガイモに赤いソースをかけたブラバス（2009年）。撮影店は未確認。</x:v>
      </x:c>
      <x:c r="M56" s="22" t="str">
        <x:v>P031とは別原典。赤い外観だけでトマト／ケチャップ入りと断定しない。やや暗めなので明るさ調整時は変更を明記する。 原画像リンクは原典に存在するが、この環境では原画像の読み込みがタイムアウト。目視は1280pxプレビューで実施。</x:v>
      </x:c>
      <x:c r="N56" s="22" t="str">
        <x:v>Tamorlan / Wikimedia Commons / CC BY 3.0（変更する場合は内容を追記）</x:v>
      </x:c>
      <x:c r="O56" s="22" t="str">
        <x:v>https://commons.wikimedia.org/wiki/File:Patatas_bravas-Lavapies.jpg</x:v>
      </x:c>
      <x:c r="P56" s="22" t="str">
        <x:v>https://upload.wikimedia.org/wikipedia/commons/6/6c/Patatas_bravas-Lavapies.jpg</x:v>
      </x:c>
      <x:c r="Q56" s="22" t="str">
        <x:v>https://creativecommons.org/licenses/by/3.0/</x:v>
      </x:c>
      <x:c r="R56" s="22" t="str">
        <x:v>2026-09-28</x:v>
      </x:c>
      <x:c r="S56" s="22" t="str">
        <x:v>追加</x:v>
      </x:c>
      <x:c r="T56" s="22" t="str">
        <x:v>未保存</x:v>
      </x:c>
    </x:row>
    <x:row r="57">
      <x:c r="A57" s="6"/>
      <x:c r="B57" s="6"/>
      <x:c r="C57" s="6"/>
      <x:c r="D57" s="6"/>
      <x:c r="E57" s="6"/>
      <x:c r="F57" s="6"/>
      <x:c r="G57" s="6"/>
      <x:c r="H57" s="6"/>
      <x:c r="I57" s="6"/>
      <x:c r="J57" s="6"/>
      <x:c r="K57" s="6"/>
      <x:c r="L57" s="6"/>
      <x:c r="M57" s="6"/>
      <x:c r="N57" s="6"/>
      <x:c r="O57" s="6"/>
      <x:c r="P57" s="6"/>
      <x:c r="Q57" s="6"/>
      <x:c r="R57" s="6"/>
      <x:c r="S57" s="6"/>
      <x:c r="T57" s="6"/>
    </x:row>
  </x:sheetData>
  <x:mergeCells>
    <x:mergeCell ref="A1:T1"/>
    <x:mergeCell ref="A2:T2"/>
  </x:mergeCells>
  <x:pageMargins left="0.7" right="0.7" top="0.75" bottom="0.75" header="0.3" footer="0.3"/>
  <x:tableParts count="1">
    <x:tablePart xmlns:r="http://schemas.openxmlformats.org/officeDocument/2006/relationships" r:id="R520ce912504d4e0f"/>
  </x:tableParts>
</x:worksheet>
</file>

<file path=xl/worksheets/sheet4.xml><?xml version="1.0" encoding="utf-8"?>
<x:worksheet xmlns:x="http://schemas.openxmlformats.org/spreadsheetml/2006/main">
  <x:sheetFormatPr defaultRowHeight="15"/>
  <x:cols>
    <x:col min="1" max="1" width="9" hidden="0" customWidth="1"/>
    <x:col min="2" max="2" width="27" hidden="0" customWidth="1"/>
    <x:col min="3" max="3" width="28" hidden="0" customWidth="1"/>
    <x:col min="4" max="4" width="21" hidden="0" customWidth="1"/>
    <x:col min="5" max="5" width="40" hidden="0" customWidth="1"/>
    <x:col min="6" max="6" width="30" hidden="0" customWidth="1"/>
    <x:col min="7" max="7" width="19" hidden="0" customWidth="1"/>
    <x:col min="8" max="8" width="30" hidden="0" customWidth="1"/>
    <x:col min="9" max="9" width="25" hidden="0" customWidth="1"/>
    <x:col min="10" max="10" width="40" hidden="0" customWidth="1"/>
    <x:col min="11" max="11" width="40" hidden="0" customWidth="1"/>
    <x:col min="12" max="12" width="22" hidden="0" customWidth="1"/>
    <x:col min="13" max="13" width="40" hidden="0" customWidth="1"/>
    <x:col min="14" max="14" width="20" hidden="0" customWidth="1"/>
    <x:col min="15" max="15" width="40" hidden="0" customWidth="1"/>
  </x:cols>
  <x:sheetData>
    <x:row r="1" ht="32" customHeight="1">
      <x:c r="A1" s="9" t="str">
        <x:v>食事と結び付ける名所 30項目</x:v>
      </x:c>
      <x:c r="B1" s="9"/>
      <x:c r="C1" s="9"/>
      <x:c r="D1" s="9"/>
      <x:c r="E1" s="9"/>
      <x:c r="F1" s="9"/>
      <x:c r="G1" s="9"/>
      <x:c r="H1" s="9"/>
      <x:c r="I1" s="9"/>
      <x:c r="J1" s="9"/>
      <x:c r="K1" s="9"/>
      <x:c r="L1" s="9"/>
      <x:c r="M1" s="9"/>
      <x:c r="N1" s="9"/>
      <x:c r="O1" s="9"/>
    </x:row>
    <x:row r="2" ht="32" customHeight="1">
      <x:c r="A2" s="13" t="str">
        <x:v>食との組合せは編集案で、施設内での提供を意味しません。移動時間の実測はしていません。</x:v>
      </x:c>
      <x:c r="B2" s="13"/>
      <x:c r="C2" s="13"/>
      <x:c r="D2" s="13"/>
      <x:c r="E2" s="13"/>
      <x:c r="F2" s="13"/>
      <x:c r="G2" s="13"/>
      <x:c r="H2" s="13"/>
      <x:c r="I2" s="13"/>
      <x:c r="J2" s="13"/>
      <x:c r="K2" s="13"/>
      <x:c r="L2" s="13"/>
      <x:c r="M2" s="13"/>
      <x:c r="N2" s="13"/>
      <x:c r="O2" s="13"/>
    </x:row>
    <x:row r="3">
      <x:c r="A3" s="6"/>
      <x:c r="B3" s="6"/>
      <x:c r="C3" s="6"/>
      <x:c r="D3" s="6"/>
      <x:c r="E3" s="6"/>
      <x:c r="F3" s="6"/>
      <x:c r="G3" s="6"/>
      <x:c r="H3" s="6"/>
      <x:c r="I3" s="6"/>
      <x:c r="J3" s="6"/>
      <x:c r="K3" s="6"/>
      <x:c r="L3" s="6"/>
      <x:c r="M3" s="6"/>
      <x:c r="N3" s="6"/>
      <x:c r="O3" s="6"/>
    </x:row>
    <x:row r="4" ht="32" customHeight="1">
      <x:c r="A4" s="18" t="str">
        <x:v>ID</x:v>
      </x:c>
      <x:c r="B4" s="18" t="str">
        <x:v>名所</x:v>
      </x:c>
      <x:c r="C4" s="18" t="str">
        <x:v>現地名</x:v>
      </x:c>
      <x:c r="D4" s="18" t="str">
        <x:v>地域</x:v>
      </x:c>
      <x:c r="E4" s="18" t="str">
        <x:v>見どころ</x:v>
      </x:c>
      <x:c r="F4" s="18" t="str">
        <x:v>食との組合せ案</x:v>
      </x:c>
      <x:c r="G4" s="18" t="str">
        <x:v>関連料理</x:v>
      </x:c>
      <x:c r="H4" s="18" t="str">
        <x:v>時間の目安</x:v>
      </x:c>
      <x:c r="I4" s="18" t="str">
        <x:v>時間の根拠</x:v>
      </x:c>
      <x:c r="J4" s="18" t="str">
        <x:v>開館等の情報</x:v>
      </x:c>
      <x:c r="K4" s="18" t="str">
        <x:v>注意</x:v>
      </x:c>
      <x:c r="L4" s="18" t="str">
        <x:v>出典ID</x:v>
      </x:c>
      <x:c r="M4" s="18" t="str">
        <x:v>出典URL</x:v>
      </x:c>
      <x:c r="N4" s="18" t="str">
        <x:v>写真ID</x:v>
      </x:c>
      <x:c r="O4" s="18" t="str">
        <x:v>今回の追加</x:v>
      </x:c>
    </x:row>
    <x:row r="5" ht="92" customHeight="1">
      <x:c r="A5" s="24" t="str">
        <x:v>L01</x:v>
      </x:c>
      <x:c r="B5" s="24" t="str">
        <x:v>マヨール広場</x:v>
      </x:c>
      <x:c r="C5" s="24" t="str">
        <x:v>Plaza Mayor</x:v>
      </x:c>
      <x:c r="D5" s="24" t="str">
        <x:v>旧市街</x:v>
      </x:c>
      <x:c r="E5" s="24" t="str">
        <x:v>回廊に囲まれた広場そのものと、広場から枝分かれする小路を見る。風景だけで終わらず、イカサンドを食べる場として紹介できる。</x:v>
      </x:c>
      <x:c r="F5" s="24" t="str">
        <x:v>イカフライのサンドイッチ</x:v>
      </x:c>
      <x:c r="G5" s="24" t="str">
        <x:v>M011</x:v>
      </x:c>
      <x:c r="H5" s="24" t="str">
        <x:v>45–75分</x:v>
      </x:c>
      <x:c r="I5" s="24" t="str">
        <x:v>編集上の目安・移動時間未実測</x:v>
      </x:c>
      <x:c r="J5" s="24" t="str">
        <x:v>通年の散策候補</x:v>
      </x:c>
      <x:c r="K5" s="24" t="str">
        <x:v>広場の店すべてで同じ品質・価格という意味ではない。写真だけで店名を決めない。</x:v>
      </x:c>
      <x:c r="L5" s="24" t="str">
        <x:v>S48, S23</x:v>
      </x:c>
      <x:c r="M5" s="24" t="str">
        <x:v>https://www.esmadrid.com/informacion-turistica/plaza-mayor-madrid
https://www.esmadrid.com/bocadillo-calamares-receta-tablafina-madrid</x:v>
      </x:c>
      <x:c r="N5" s="24" t="str">
        <x:v>P045</x:v>
      </x:c>
      <x:c r="O5" s="24" t="str"/>
    </x:row>
    <x:row r="6" ht="92" customHeight="1">
      <x:c r="A6" s="22" t="str">
        <x:v>L02</x:v>
      </x:c>
      <x:c r="B6" s="22" t="str">
        <x:v>プエルタ・デル・ソル</x:v>
      </x:c>
      <x:c r="C6" s="22" t="str">
        <x:v>Puerta del Sol</x:v>
      </x:c>
      <x:c r="D6" s="22" t="str">
        <x:v>ソル</x:v>
      </x:c>
      <x:c r="E6" s="22" t="str">
        <x:v>中心広場から菓子店やバルへ歩ける。名物の風景と、La MallorquinaやCasa Labraの食を同じ章で扱える。</x:v>
      </x:c>
      <x:c r="F6" s="22" t="str">
        <x:v>ナポリターナ／タラの衣揚げ</x:v>
      </x:c>
      <x:c r="G6" s="22" t="str">
        <x:v>M072, M012</x:v>
      </x:c>
      <x:c r="H6" s="22" t="str">
        <x:v>30–60分</x:v>
      </x:c>
      <x:c r="I6" s="22" t="str">
        <x:v>編集上の目安・移動時間未実測</x:v>
      </x:c>
      <x:c r="J6" s="22" t="str">
        <x:v>通年の散策候補</x:v>
      </x:c>
      <x:c r="K6" s="22" t="str">
        <x:v>ナポリターナをマドリード独自の発明とはしない。売り場の古写真は現在の価格資料ではない。</x:v>
      </x:c>
      <x:c r="L6" s="22" t="str">
        <x:v>S62, S39, S70</x:v>
      </x:c>
      <x:c r="M6" s="22" t="str">
        <x:v>https://www.esmadrid.com/informacion-turistica/puerta-del-sol
https://pastelerialamallorquina.es/
https://www.esmadrid.com/restaurantes/casa-labra</x:v>
      </x:c>
      <x:c r="N6" s="22" t="str">
        <x:v>P039</x:v>
      </x:c>
      <x:c r="O6" s="22" t="str"/>
    </x:row>
    <x:row r="7" ht="92" customHeight="1">
      <x:c r="A7" s="24" t="str">
        <x:v>L03</x:v>
      </x:c>
      <x:c r="B7" s="24" t="str">
        <x:v>マドリード王宮</x:v>
      </x:c>
      <x:c r="C7" s="24" t="str">
        <x:v>Palacio Real de Madrid</x:v>
      </x:c>
      <x:c r="D7" s="24" t="str">
        <x:v>王宮周辺</x:v>
      </x:c>
      <x:c r="E7" s="24" t="str">
        <x:v>豪華な室内と建物の規模を楽しむ中心名所。食文化の記事では王室の食事を支えた厨房へ話をつなげる。</x:v>
      </x:c>
      <x:c r="F7" s="24" t="str">
        <x:v>コシード</x:v>
      </x:c>
      <x:c r="G7" s="24" t="str">
        <x:v>M001</x:v>
      </x:c>
      <x:c r="H7" s="24" t="str">
        <x:v>1.5–2.5時間</x:v>
      </x:c>
      <x:c r="I7" s="24" t="str">
        <x:v>編集上の目安・移動時間未実測</x:v>
      </x:c>
      <x:c r="J7" s="24" t="str">
        <x:v>事前予約を組み込む候補</x:v>
      </x:c>
      <x:c r="K7" s="24" t="str">
        <x:v>式典等の閉鎖あり。通常見学に厨房が含まれると書かない。</x:v>
      </x:c>
      <x:c r="L7" s="24" t="str">
        <x:v>S42, S41</x:v>
      </x:c>
      <x:c r="M7" s="24" t="str">
        <x:v>https://www.esmadrid.com/informacion-turistica/palacio-real
https://labola.es/en</x:v>
      </x:c>
      <x:c r="N7" s="24" t="str">
        <x:v>P046, P047</x:v>
      </x:c>
      <x:c r="O7" s="24" t="str"/>
    </x:row>
    <x:row r="8" ht="92" customHeight="1">
      <x:c r="A8" s="22" t="str">
        <x:v>L04</x:v>
      </x:c>
      <x:c r="B8" s="22" t="str">
        <x:v>王室厨房</x:v>
      </x:c>
      <x:c r="C8" s="22" t="str">
        <x:v>Real Cocina</x:v>
      </x:c>
      <x:c r="D8" s="22" t="str">
        <x:v>王宮内</x:v>
      </x:c>
      <x:c r="E8" s="22" t="str">
        <x:v>王宮の王室厨房をガイド付きで見る。王宮の表舞台とは別に、食事を支えた調理空間へ目を向ける。</x:v>
      </x:c>
      <x:c r="F8" s="22" t="str">
        <x:v>La Bolaの土鍋コシード</x:v>
      </x:c>
      <x:c r="G8" s="22" t="str">
        <x:v>M001</x:v>
      </x:c>
      <x:c r="H8" s="22" t="str">
        <x:v>厨房ガイド約45分（管理者公式）。王宮の自由見学時間は別。</x:v>
      </x:c>
      <x:c r="I8" s="22" t="str">
        <x:v>施設公式（厨房ガイド部分）</x:v>
      </x:c>
      <x:c r="J8" s="22" t="str">
        <x:v>公式予約ページで見学販売を確認。厨房のみ基本8€／王宮＋厨房基本24€。予約画面には0.77€の予約料表示。</x:v>
      </x:c>
      <x:c r="K8" s="22" t="str">
        <x:v>ネット購入のガイドはスペイン語。セット券の選択時刻は厨房開始。式典による追加休場あり。個人撮影の許可と商用写真利用は別。</x:v>
      </x:c>
      <x:c r="L8" s="22" t="str">
        <x:v>S42, S41, S71</x:v>
      </x:c>
      <x:c r="M8" s="22" t="str">
        <x:v>https://www.esmadrid.com/informacion-turistica/palacio-real
https://labola.es/en
https://tickets.patrimonionacional.es/en/tickets/cocinas-palacio-real-de-madrid</x:v>
      </x:c>
      <x:c r="N8" s="22" t="str">
        <x:v>P046, P047, P048</x:v>
      </x:c>
      <x:c r="O8" s="22" t="str">
        <x:v>公式予約条件を具体化（2026-09-28確認）。税込等の推定はせず、最終支払額・空席を予約画面で確認。</x:v>
      </x:c>
    </x:row>
    <x:row r="9" ht="92" customHeight="1">
      <x:c r="A9" s="24" t="str">
        <x:v>L05</x:v>
      </x:c>
      <x:c r="B9" s="24" t="str">
        <x:v>アルムデナ大聖堂</x:v>
      </x:c>
      <x:c r="C9" s="24" t="str">
        <x:v>Catedral de la Almudena</x:v>
      </x:c>
      <x:c r="D9" s="24" t="str">
        <x:v>王宮周辺</x:v>
      </x:c>
      <x:c r="E9" s="24" t="str">
        <x:v>王宮と向かい合う大聖堂。建物見学に、守護聖母の祝日と結び付いた輪形菓子の話を添えられる。</x:v>
      </x:c>
      <x:c r="F9" s="24" t="str">
        <x:v>コロナ・デ・ラ・アルムデナ</x:v>
      </x:c>
      <x:c r="G9" s="24" t="str">
        <x:v>M067</x:v>
      </x:c>
      <x:c r="H9" s="24" t="str">
        <x:v>45–75分</x:v>
      </x:c>
      <x:c r="I9" s="24" t="str">
        <x:v>編集上の目安・移動時間未実測</x:v>
      </x:c>
      <x:c r="J9" s="24" t="str">
        <x:v>菓子は11月9日前後</x:v>
      </x:c>
      <x:c r="K9" s="24" t="str">
        <x:v>大聖堂の古さと菓子の古さを混同しない。菓子は1980年代に誕生したと市が説明。</x:v>
      </x:c>
      <x:c r="L9" s="24" t="str">
        <x:v>S68, S02, S20</x:v>
      </x:c>
      <x:c r="M9" s="24" t="str">
        <x:v>https://www.esmadrid.com/informacion-turistica/catedral-de-la-almudena
https://www.esmadrid.com/reposteria-tradicional
https://www.esmadrid.com/corona-almudena-madrid-receta-el-riojano</x:v>
      </x:c>
      <x:c r="N9" s="24" t="str"/>
      <x:c r="O9" s="24" t="str"/>
    </x:row>
    <x:row r="10" ht="92" customHeight="1">
      <x:c r="A10" s="22" t="str">
        <x:v>L06</x:v>
      </x:c>
      <x:c r="B10" s="22" t="str">
        <x:v>王室コレクション・ギャラリー</x:v>
      </x:c>
      <x:c r="C10" s="22" t="str">
        <x:v>Galería de las Colecciones Reales</x:v>
      </x:c>
      <x:c r="D10" s="22" t="str">
        <x:v>王宮周辺</x:v>
      </x:c>
      <x:c r="E10" s="22" t="str">
        <x:v>王宮隣接のコレクション展示。建設時に見つかった古い城壁も、宮殿の豪華さとは違う街の歴史を見せる題材になる。</x:v>
      </x:c>
      <x:c r="F10" s="22" t="str">
        <x:v>王宮周辺でコシード／菓子休憩</x:v>
      </x:c>
      <x:c r="G10" s="22" t="str">
        <x:v>M001, M064</x:v>
      </x:c>
      <x:c r="H10" s="22" t="str">
        <x:v>1.5–2時間</x:v>
      </x:c>
      <x:c r="I10" s="22" t="str">
        <x:v>編集上の目安・移動時間未実測</x:v>
      </x:c>
      <x:c r="J10" s="22" t="str">
        <x:v>展示・予約確認</x:v>
      </x:c>
      <x:c r="K10" s="22" t="str">
        <x:v>王宮と同じ入場券だと断定しない。館内美術品写真は別途権利確認。</x:v>
      </x:c>
      <x:c r="L10" s="22" t="str">
        <x:v>S43</x:v>
      </x:c>
      <x:c r="M10" s="22" t="str">
        <x:v>https://www.esmadrid.com/informacion-turistica/galeria-colecciones-reales</x:v>
      </x:c>
      <x:c r="N10" s="22" t="str"/>
      <x:c r="O10" s="22" t="str"/>
    </x:row>
    <x:row r="11" ht="92" customHeight="1">
      <x:c r="A11" s="24" t="str">
        <x:v>L07</x:v>
      </x:c>
      <x:c r="B11" s="24" t="str">
        <x:v>カンポ・デル・モーロ庭園</x:v>
      </x:c>
      <x:c r="C11" s="24" t="str">
        <x:v>Jardines del Campo del Moro</x:v>
      </x:c>
      <x:c r="D11" s="24" t="str">
        <x:v>王宮西側</x:v>
      </x:c>
      <x:c r="E11" s="24" t="str">
        <x:v>王宮を背景にした庭園景観。高台からの眺めだけでなく、庭園の中を歩く場面を加える。</x:v>
      </x:c>
      <x:c r="F11" s="24" t="str">
        <x:v>見学後のチョコレート休憩</x:v>
      </x:c>
      <x:c r="G11" s="24" t="str">
        <x:v>M092</x:v>
      </x:c>
      <x:c r="H11" s="24" t="str">
        <x:v>45–90分</x:v>
      </x:c>
      <x:c r="I11" s="24" t="str">
        <x:v>編集上の目安・移動時間未実測</x:v>
      </x:c>
      <x:c r="J11" s="24" t="str">
        <x:v>天候・開園情報確認</x:v>
      </x:c>
      <x:c r="K11" s="24" t="str">
        <x:v>王宮前からすぐ庭園へ下りられると思い込まず、入口と回り道を確認。飲食場所の提案は編集案。</x:v>
      </x:c>
      <x:c r="L11" s="24" t="str">
        <x:v>S67, S42</x:v>
      </x:c>
      <x:c r="M11" s="24" t="str">
        <x:v>https://www.esmadrid.com/informacion-turistica/campo-del-moro
https://www.esmadrid.com/informacion-turistica/palacio-real</x:v>
      </x:c>
      <x:c r="N11" s="24" t="str"/>
      <x:c r="O11" s="24" t="str"/>
    </x:row>
    <x:row r="12" ht="92" customHeight="1">
      <x:c r="A12" s="22" t="str">
        <x:v>L08</x:v>
      </x:c>
      <x:c r="B12" s="22" t="str">
        <x:v>プラド美術館</x:v>
      </x:c>
      <x:c r="C12" s="22" t="str">
        <x:v>Museo Nacional del Prado</x:v>
      </x:c>
      <x:c r="D12" s="22" t="str">
        <x:v>プラド周辺</x:v>
      </x:c>
      <x:c r="E12" s="22" t="str">
        <x:v>絵画を中心に見たい人の柱にする。食の長編では静物画を探すという鑑賞テーマも編集案として加えられる。</x:v>
      </x:c>
      <x:c r="F12" s="22" t="str">
        <x:v>見学後にラス・レトラス地区で食事</x:v>
      </x:c>
      <x:c r="G12" s="22" t="str">
        <x:v>M002, M022</x:v>
      </x:c>
      <x:c r="H12" s="22" t="str">
        <x:v>2–3時間</x:v>
      </x:c>
      <x:c r="I12" s="22" t="str">
        <x:v>編集上の目安・移動時間未実測</x:v>
      </x:c>
      <x:c r="J12" s="22" t="str">
        <x:v>日時指定枠を確認</x:v>
      </x:c>
      <x:c r="K12" s="22" t="str">
        <x:v>特定作品の常設展示を保証しない。静物画の個別作品を載せる場合は作品ページを追加確認。</x:v>
      </x:c>
      <x:c r="L12" s="22" t="str">
        <x:v>S49, S66, S06, S82, S83</x:v>
      </x:c>
      <x:c r="M12" s="22" t="str">
        <x:v>https://www.esmadrid.com/informacion-turistica/museo-del-prado
https://www.esmadrid.com/barrios-de-madrid/barrio-letras
https://www.casaalberto.es/carta-restaurante-en?idIdioma=2
https://www.museodelprado.es/aprende/enciclopedia/voz/bodegon-con-cacharros-zurbaran/98bc3d58-c579-4973-bb9d-4913955c005c
https://www.museodelprado.es/lectura-facil/bodegon-con-cacharros-zurbaran/928d34c8-ce8d-ec63-1d92-f193cf162f40</x:v>
      </x:c>
      <x:c r="N12" s="22" t="str"/>
      <x:c r="O12" s="22" t="str">
        <x:v>スルバラン《器のある静物》を食文化の補助テーマに追加。ただし収蔵作品が当日展示されるとは保証しない。</x:v>
      </x:c>
    </x:row>
    <x:row r="13" ht="92" customHeight="1">
      <x:c r="A13" s="24" t="str">
        <x:v>L09</x:v>
      </x:c>
      <x:c r="B13" s="24" t="str">
        <x:v>ソフィア王妃芸術センター</x:v>
      </x:c>
      <x:c r="C13" s="24" t="str">
        <x:v>Museo Reina Sofía</x:v>
      </x:c>
      <x:c r="D13" s="24" t="str">
        <x:v>アトーチャ／ラバピエス寄り</x:v>
      </x:c>
      <x:c r="E13" s="24" t="str">
        <x:v>近現代美術の見学と、生活感のある市場・飲食街の散策を組み合わせる。プラドとは鑑賞の軸を分ける。</x:v>
      </x:c>
      <x:c r="F13" s="24" t="str">
        <x:v>アントン・マルティン市場の食事</x:v>
      </x:c>
      <x:c r="G13" s="24" t="str">
        <x:v>M023, M022</x:v>
      </x:c>
      <x:c r="H13" s="24" t="str">
        <x:v>2–3時間</x:v>
      </x:c>
      <x:c r="I13" s="24" t="str">
        <x:v>編集上の目安・移動時間未実測</x:v>
      </x:c>
      <x:c r="J13" s="24" t="str">
        <x:v>展示・休館日確認</x:v>
      </x:c>
      <x:c r="K13" s="24" t="str">
        <x:v>一日で三大美術館を全部回る固定ルートにはしない。作品の著作権と建物写真の権利は別。</x:v>
      </x:c>
      <x:c r="L13" s="24" t="str">
        <x:v>S50, S47</x:v>
      </x:c>
      <x:c r="M13" s="24" t="str">
        <x:v>https://www.esmadrid.com/informacion-turistica/museo-reina-sofia
https://www.esmadrid.com/mercados-gastronomia-madrid</x:v>
      </x:c>
      <x:c r="N13" s="24" t="str"/>
      <x:c r="O13" s="24" t="str"/>
    </x:row>
    <x:row r="14" ht="92" customHeight="1">
      <x:c r="A14" s="22" t="str">
        <x:v>L10</x:v>
      </x:c>
      <x:c r="B14" s="22" t="str">
        <x:v>ティッセン美術館</x:v>
      </x:c>
      <x:c r="C14" s="22" t="str">
        <x:v>Museo Nacional Thyssen-Bornemisza</x:v>
      </x:c>
      <x:c r="D14" s="22" t="str">
        <x:v>プラド周辺</x:v>
      </x:c>
      <x:c r="E14" s="22" t="str">
        <x:v>幅広い絵画の流れを見たい人向け。プラド・レティーロとの組合せを選択式にして、館数を詰め込みすぎない。</x:v>
      </x:c>
      <x:c r="F14" s="22" t="str">
        <x:v>美術館周辺で軽いバル料理</x:v>
      </x:c>
      <x:c r="G14" s="22" t="str">
        <x:v>M021, M023</x:v>
      </x:c>
      <x:c r="H14" s="22" t="str">
        <x:v>1.5–2.5時間</x:v>
      </x:c>
      <x:c r="I14" s="22" t="str">
        <x:v>編集上の目安・移動時間未実測</x:v>
      </x:c>
      <x:c r="J14" s="22" t="str">
        <x:v>日時・展示確認</x:v>
      </x:c>
      <x:c r="K14" s="22" t="str">
        <x:v>周辺料理は散策の提案であり館内提供メニューではない。</x:v>
      </x:c>
      <x:c r="L14" s="22" t="str">
        <x:v>S51, S40</x:v>
      </x:c>
      <x:c r="M14" s="22" t="str">
        <x:v>https://www.esmadrid.com/informacion-turistica/museo-nacional-thyssen-bornemisza
https://www.esmadrid.com/gastronomia-madrid</x:v>
      </x:c>
      <x:c r="N14" s="22" t="str"/>
      <x:c r="O14" s="22" t="str"/>
    </x:row>
    <x:row r="15" ht="92" customHeight="1">
      <x:c r="A15" s="24" t="str">
        <x:v>L11</x:v>
      </x:c>
      <x:c r="B15" s="24" t="str">
        <x:v>レティーロ公園</x:v>
      </x:c>
      <x:c r="C15" s="24" t="str">
        <x:v>Parque de El Retiro</x:v>
      </x:c>
      <x:c r="D15" s="24" t="str">
        <x:v>レティーロ</x:v>
      </x:c>
      <x:c r="E15" s="24" t="str">
        <x:v>池や並木を歩き、食事と美術館の合間に屋外の場面を作る。公園の見学と園内施設の開館は別に整理する。</x:v>
      </x:c>
      <x:c r="F15" s="24" t="str">
        <x:v>公園周辺で朝食／軽食</x:v>
      </x:c>
      <x:c r="G15" s="24" t="str">
        <x:v>M061, M023</x:v>
      </x:c>
      <x:c r="H15" s="24" t="str">
        <x:v>1–2時間</x:v>
      </x:c>
      <x:c r="I15" s="24" t="str">
        <x:v>編集上の目安・移動時間未実測</x:v>
      </x:c>
      <x:c r="J15" s="24" t="str">
        <x:v>悪天候時の閉園情報確認</x:v>
      </x:c>
      <x:c r="K15" s="24" t="str">
        <x:v>チュロス店が園内にあると断定しない。台風・強風等の警報では当日の公式情報を優先。</x:v>
      </x:c>
      <x:c r="L15" s="24" t="str">
        <x:v>S44</x:v>
      </x:c>
      <x:c r="M15" s="24" t="str">
        <x:v>https://www.esmadrid.com/informacion-turistica/parque-del-retiro</x:v>
      </x:c>
      <x:c r="N15" s="24" t="str"/>
      <x:c r="O15" s="24" t="str"/>
    </x:row>
    <x:row r="16" ht="92" customHeight="1">
      <x:c r="A16" s="22" t="str">
        <x:v>L12</x:v>
      </x:c>
      <x:c r="B16" s="22" t="str">
        <x:v>クリスタル宮殿</x:v>
      </x:c>
      <x:c r="C16" s="22" t="str">
        <x:v>Palacio de Cristal</x:v>
      </x:c>
      <x:c r="D16" s="22" t="str">
        <x:v>レティーロ</x:v>
      </x:c>
      <x:c r="E16" s="22" t="str">
        <x:v>1887年に植物展示の温室として建てられたガラスと鉄の建物。名前から王室の住居と思わせない紹介ができる。</x:v>
      </x:c>
      <x:c r="F16" s="22" t="str">
        <x:v>レティーロ散策と組合せ</x:v>
      </x:c>
      <x:c r="G16" s="22" t="str">
        <x:v>M061</x:v>
      </x:c>
      <x:c r="H16" s="22" t="str">
        <x:v>周辺立寄りのみを想定</x:v>
      </x:c>
      <x:c r="I16" s="22" t="str">
        <x:v>編集上の目安・移動時間未実測</x:v>
      </x:c>
      <x:c r="J16" s="22" t="str">
        <x:v>工事で一時閉館、公式は2027年までと案内</x:v>
      </x:c>
      <x:c r="K16" s="22" t="str">
        <x:v>透明な内部を見学できると書かない。工事前の写真は過去の姿と明記。覆いのアート作品は別案内を確認。</x:v>
      </x:c>
      <x:c r="L16" s="22" t="str">
        <x:v>S45</x:v>
      </x:c>
      <x:c r="M16" s="22" t="str">
        <x:v>https://www.esmadrid.com/informacion-turistica/palacio-de-cristal</x:v>
      </x:c>
      <x:c r="N16" s="22" t="str"/>
      <x:c r="O16" s="22" t="str"/>
    </x:row>
    <x:row r="17" ht="92" customHeight="1">
      <x:c r="A17" s="24" t="str">
        <x:v>L13</x:v>
      </x:c>
      <x:c r="B17" s="24" t="str">
        <x:v>アルカラ門</x:v>
      </x:c>
      <x:c r="C17" s="24" t="str">
        <x:v>Puerta de Alcalá</x:v>
      </x:c>
      <x:c r="D17" s="24" t="str">
        <x:v>レティーロ北西</x:v>
      </x:c>
      <x:c r="E17" s="24" t="str">
        <x:v>公園と街路をつなぐ歴史的な門。レティーロ散策の始点・終点として章内に置きやすい。</x:v>
      </x:c>
      <x:c r="F17" s="24" t="str">
        <x:v>サラマンカ地区の市場・菓子へ</x:v>
      </x:c>
      <x:c r="G17" s="24" t="str">
        <x:v>M023, M072</x:v>
      </x:c>
      <x:c r="H17" s="24" t="str">
        <x:v>15–30分</x:v>
      </x:c>
      <x:c r="I17" s="24" t="str">
        <x:v>編集上の目安・移動時間未実測</x:v>
      </x:c>
      <x:c r="J17" s="24" t="str">
        <x:v>屋外の立寄り候補</x:v>
      </x:c>
      <x:c r="K17" s="24" t="str">
        <x:v>門を眺める場面と市場までの移動を分ける。厳密な徒歩分数は未測定。</x:v>
      </x:c>
      <x:c r="L17" s="24" t="str">
        <x:v>S61, S47</x:v>
      </x:c>
      <x:c r="M17" s="24" t="str">
        <x:v>https://www.esmadrid.com/informacion-turistica/puerta-de-alcala
https://www.esmadrid.com/mercados-gastronomia-madrid</x:v>
      </x:c>
      <x:c r="N17" s="24" t="str"/>
      <x:c r="O17" s="24" t="str"/>
    </x:row>
    <x:row r="18" ht="92" customHeight="1">
      <x:c r="A18" s="22" t="str">
        <x:v>L14</x:v>
      </x:c>
      <x:c r="B18" s="22" t="str">
        <x:v>シベーレス宮殿と展望台</x:v>
      </x:c>
      <x:c r="C18" s="22" t="str">
        <x:v>Palacio de Cibeles / CentroCentro</x:v>
      </x:c>
      <x:c r="D18" s="22" t="str">
        <x:v>シベーレス</x:v>
      </x:c>
      <x:c r="E18" s="22" t="str">
        <x:v>旧郵便関連施設の建物と8階のMirador Madrid。6階の飲食テラスとは目的が違うため、写真撮影と飲食を別に紹介する。</x:v>
      </x:c>
      <x:c r="F18" s="22" t="str">
        <x:v>展望の後にカフェ／軽食</x:v>
      </x:c>
      <x:c r="G18" s="22" t="str">
        <x:v>M095</x:v>
      </x:c>
      <x:c r="H18" s="22" t="str">
        <x:v>45–90分</x:v>
      </x:c>
      <x:c r="I18" s="22" t="str">
        <x:v>編集上の目安・移動時間未実測</x:v>
      </x:c>
      <x:c r="J18" s="22" t="str">
        <x:v>建物・展望台・飲食施設で条件が異なる</x:v>
      </x:c>
      <x:c r="K18" s="22" t="str">
        <x:v>噴水は修復足場の告知あり。展望台入場料と飲食代を混同せず、足場なしの景色を保証しない。</x:v>
      </x:c>
      <x:c r="L18" s="22" t="str">
        <x:v>S63, S64</x:v>
      </x:c>
      <x:c r="M18" s="22" t="str">
        <x:v>https://www.esmadrid.com/informacion-turistica/centrocentro
https://www.esmadrid.com/informacion-turistica/fuente-de-la-cibeles</x:v>
      </x:c>
      <x:c r="N18" s="22" t="str"/>
      <x:c r="O18" s="22" t="str"/>
    </x:row>
    <x:row r="19" ht="92" customHeight="1">
      <x:c r="A19" s="24" t="str">
        <x:v>L15</x:v>
      </x:c>
      <x:c r="B19" s="24" t="str">
        <x:v>グラン・ビア</x:v>
      </x:c>
      <x:c r="C19" s="24" t="str">
        <x:v>Gran Vía</x:v>
      </x:c>
      <x:c r="D19" s="24" t="str">
        <x:v>ソル／グラン・ビア</x:v>
      </x:c>
      <x:c r="E19" s="24" t="str">
        <x:v>大通りの建築、看板、劇場街を歩く。昼の旧市街とは異なる夜の街の景色を入れるための候補。</x:v>
      </x:c>
      <x:c r="F19" s="24" t="str">
        <x:v>夕食前後に小皿料理</x:v>
      </x:c>
      <x:c r="G19" s="24" t="str">
        <x:v>M021, M022</x:v>
      </x:c>
      <x:c r="H19" s="24" t="str">
        <x:v>45–90分</x:v>
      </x:c>
      <x:c r="I19" s="24" t="str">
        <x:v>編集上の目安・移動時間未実測</x:v>
      </x:c>
      <x:c r="J19" s="24" t="str">
        <x:v>夜の散策候補</x:v>
      </x:c>
      <x:c r="K19" s="24" t="str">
        <x:v>飲食は周辺を含む編集提案。どの屋上でも自由に上れるとは案内しない。</x:v>
      </x:c>
      <x:c r="L19" s="24" t="str">
        <x:v>S60, S40</x:v>
      </x:c>
      <x:c r="M19" s="24" t="str">
        <x:v>https://www.esmadrid.com/top-10-madrid
https://www.esmadrid.com/gastronomia-madrid</x:v>
      </x:c>
      <x:c r="N19" s="24" t="str"/>
      <x:c r="O19" s="24" t="str"/>
    </x:row>
    <x:row r="20" ht="92" customHeight="1">
      <x:c r="A20" s="22" t="str">
        <x:v>L16</x:v>
      </x:c>
      <x:c r="B20" s="22" t="str">
        <x:v>デボー神殿</x:v>
      </x:c>
      <x:c r="C20" s="22" t="str">
        <x:v>Templo de Debod</x:v>
      </x:c>
      <x:c r="D20" s="22" t="str">
        <x:v>プラサ・デ・エスパーニャ西側</x:v>
      </x:c>
      <x:c r="E20" s="22" t="str">
        <x:v>エジプトから移され、1972年に現在地で公開された古代神殿。『スペインにエジプトの神殿』という明確な見どころがある。</x:v>
      </x:c>
      <x:c r="F20" s="22" t="str">
        <x:v>前後にプリンシペ・ピオ方面で食事</x:v>
      </x:c>
      <x:c r="G20" s="22" t="str">
        <x:v>M029, M094</x:v>
      </x:c>
      <x:c r="H20" s="22" t="str">
        <x:v>30–60分</x:v>
      </x:c>
      <x:c r="I20" s="22" t="str">
        <x:v>編集上の目安・移動時間未実測</x:v>
      </x:c>
      <x:c r="J20" s="22" t="str">
        <x:v>屋外と内部の条件は別確認</x:v>
      </x:c>
      <x:c r="K20" s="22" t="str">
        <x:v>夕景の時間は季節次第。古写真の水面反射が現在も見られると保証しない。</x:v>
      </x:c>
      <x:c r="L20" s="22" t="str">
        <x:v>S54, S08</x:v>
      </x:c>
      <x:c r="M20" s="22" t="str">
        <x:v>https://www.esmadrid.com/informacion-turistica/templo-de-debod
https://www.casamingo.es/</x:v>
      </x:c>
      <x:c r="N20" s="22" t="str"/>
      <x:c r="O20" s="22" t="str"/>
    </x:row>
    <x:row r="21" ht="92" customHeight="1">
      <x:c r="A21" s="24" t="str">
        <x:v>L17</x:v>
      </x:c>
      <x:c r="B21" s="24" t="str">
        <x:v>エル・ラストロ</x:v>
      </x:c>
      <x:c r="C21" s="24" t="str">
        <x:v>El Rastro</x:v>
      </x:c>
      <x:c r="D21" s="24" t="str">
        <x:v>ラ・ラティーナ／エンバハドーレス</x:v>
      </x:c>
      <x:c r="E21" s="24" t="str">
        <x:v>日曜・祝日の屋外市を見て、昼のバルへつなぐ。常設の骨董店と露店を区別すると曜日の失敗を防げる。</x:v>
      </x:c>
      <x:c r="F21" s="24" t="str">
        <x:v>ベルムット／カタツムリ／小皿</x:v>
      </x:c>
      <x:c r="G21" s="24" t="str">
        <x:v>M095, M009, M021</x:v>
      </x:c>
      <x:c r="H21" s="24" t="str">
        <x:v>1.5–2.5時間</x:v>
      </x:c>
      <x:c r="I21" s="24" t="str">
        <x:v>編集上の目安・移動時間未実測</x:v>
      </x:c>
      <x:c r="J21" s="24" t="str">
        <x:v>日曜・祝日が中心</x:v>
      </x:c>
      <x:c r="K21" s="24" t="str">
        <x:v>市場の開催と各飲食店の営業は別。無料の添え物と注文料理を混同しない。</x:v>
      </x:c>
      <x:c r="L21" s="24" t="str">
        <x:v>S52, S65</x:v>
      </x:c>
      <x:c r="M21" s="24" t="str">
        <x:v>https://www.esmadrid.com/que-hacer-en-el-rastro
https://www.esmadrid.com/barrios-de-madrid/latina</x:v>
      </x:c>
      <x:c r="N21" s="24" t="str"/>
      <x:c r="O21" s="24" t="str"/>
    </x:row>
    <x:row r="22" ht="92" customHeight="1">
      <x:c r="A22" s="22" t="str">
        <x:v>L18</x:v>
      </x:c>
      <x:c r="B22" s="22" t="str">
        <x:v>ラ・ラティーナとカバ・バハ</x:v>
      </x:c>
      <x:c r="C22" s="22" t="str">
        <x:v>La Latina / Cava Baja</x:v>
      </x:c>
      <x:c r="D22" s="22" t="str">
        <x:v>旧市街南西</x:v>
      </x:c>
      <x:c r="E22" s="22" t="str">
        <x:v>バルや広場を巡る街歩きそのものを名所として扱う。Rastroの日の昼と、通常の夕食時を分けて紹介できる。</x:v>
      </x:c>
      <x:c r="F22" s="22" t="str">
        <x:v>ウエボス・ロトス／カジョス</x:v>
      </x:c>
      <x:c r="G22" s="22" t="str">
        <x:v>M015, M002</x:v>
      </x:c>
      <x:c r="H22" s="22" t="str">
        <x:v>1–2時間＋食事</x:v>
      </x:c>
      <x:c r="I22" s="22" t="str">
        <x:v>編集上の目安・移動時間未実測</x:v>
      </x:c>
      <x:c r="J22" s="22" t="str">
        <x:v>曜日と店の提供時間確認</x:v>
      </x:c>
      <x:c r="K22" s="22" t="str">
        <x:v>地区全体の料理を一店舗の名物のように扱わない。</x:v>
      </x:c>
      <x:c r="L22" s="22" t="str">
        <x:v>S65, S40</x:v>
      </x:c>
      <x:c r="M22" s="22" t="str">
        <x:v>https://www.esmadrid.com/barrios-de-madrid/latina
https://www.esmadrid.com/gastronomia-madrid</x:v>
      </x:c>
      <x:c r="N22" s="22" t="str"/>
      <x:c r="O22" s="22" t="str"/>
    </x:row>
    <x:row r="23" ht="92" customHeight="1">
      <x:c r="A23" s="24" t="str">
        <x:v>L19</x:v>
      </x:c>
      <x:c r="B23" s="24" t="str">
        <x:v>ラス・レトラス地区</x:v>
      </x:c>
      <x:c r="C23" s="24" t="str">
        <x:v>Barrio de Las Letras</x:v>
      </x:c>
      <x:c r="D23" s="24" t="str">
        <x:v>ソルとプラドの間</x:v>
      </x:c>
      <x:c r="E23" s="24" t="str">
        <x:v>サンタ・アナ広場や文学者ゆかりの通りを歩く。美術館と老舗酒場の間に挟める散策地区。</x:v>
      </x:c>
      <x:c r="F23" s="24" t="str">
        <x:v>Casa Albertoの煮込み／クロケッタ</x:v>
      </x:c>
      <x:c r="G23" s="24" t="str">
        <x:v>M002, M016, M022</x:v>
      </x:c>
      <x:c r="H23" s="24" t="str">
        <x:v>45–90分＋食事</x:v>
      </x:c>
      <x:c r="I23" s="24" t="str">
        <x:v>編集上の目安・移動時間未実測</x:v>
      </x:c>
      <x:c r="J23" s="24" t="str">
        <x:v>通年の散策候補</x:v>
      </x:c>
      <x:c r="K23" s="24" t="str">
        <x:v>著名人が実際に何を食べたかは別史料なしに書かない。</x:v>
      </x:c>
      <x:c r="L23" s="24" t="str">
        <x:v>S66, S06</x:v>
      </x:c>
      <x:c r="M23" s="24" t="str">
        <x:v>https://www.esmadrid.com/barrios-de-madrid/barrio-letras
https://www.casaalberto.es/carta-restaurante-en?idIdioma=2</x:v>
      </x:c>
      <x:c r="N23" s="24" t="str"/>
      <x:c r="O23" s="24" t="str"/>
    </x:row>
    <x:row r="24" ht="92" customHeight="1">
      <x:c r="A24" s="22" t="str">
        <x:v>L20</x:v>
      </x:c>
      <x:c r="B24" s="22" t="str">
        <x:v>カルボネラス修道院の菓子</x:v>
      </x:c>
      <x:c r="C24" s="22" t="str">
        <x:v>Convento de las Carboneras</x:v>
      </x:c>
      <x:c r="D24" s="22" t="str">
        <x:v>マヨール広場近く</x:v>
      </x:c>
      <x:c r="E24" s="22" t="str">
        <x:v>修道院と焼き菓子を合わせた小さな寄り道。市の伝統菓子案内が紹介する手作り菓子を調査の入口にする。</x:v>
      </x:c>
      <x:c r="F24" s="22" t="str">
        <x:v>修道院のクッキー類</x:v>
      </x:c>
      <x:c r="G24" s="22" t="str"/>
      <x:c r="H24" s="22" t="str">
        <x:v>15–30分</x:v>
      </x:c>
      <x:c r="I24" s="22" t="str">
        <x:v>編集上の目安・移動時間未実測</x:v>
      </x:c>
      <x:c r="J24" s="22" t="str">
        <x:v>販売時間・在庫未確認</x:v>
      </x:c>
      <x:c r="K24" s="22" t="str">
        <x:v>教会の見学時間と菓子の販売時間は同一としない。現行の購入方法・写真転載許可は未確認。</x:v>
      </x:c>
      <x:c r="L24" s="22" t="str">
        <x:v>S02</x:v>
      </x:c>
      <x:c r="M24" s="22" t="str">
        <x:v>https://www.esmadrid.com/reposteria-tradicional</x:v>
      </x:c>
      <x:c r="N24" s="22" t="str"/>
      <x:c r="O24" s="22" t="str"/>
    </x:row>
    <x:row r="25" ht="92" customHeight="1">
      <x:c r="A25" s="24" t="str">
        <x:v>L21</x:v>
      </x:c>
      <x:c r="B25" s="24" t="str">
        <x:v>サン・アントニオ・デ・ラ・フロリダ礼拝堂</x:v>
      </x:c>
      <x:c r="C25" s="24" t="str">
        <x:v>Ermita de San Antonio de la Florida</x:v>
      </x:c>
      <x:c r="D25" s="24" t="str">
        <x:v>プリンシペ・ピオ北西</x:v>
      </x:c>
      <x:c r="E25" s="24" t="str">
        <x:v>ゴヤのフレスコ画を見上げる礼拝堂。近くのCasa Mingoのローストチキンとつなぐと、美術館だけでないゴヤ案内になる。</x:v>
      </x:c>
      <x:c r="F25" s="24" t="str">
        <x:v>Casa Mingoの鶏の丸焼き＋シドラ</x:v>
      </x:c>
      <x:c r="G25" s="24" t="str">
        <x:v>M029, M094</x:v>
      </x:c>
      <x:c r="H25" s="24" t="str">
        <x:v>45–60分＋食事</x:v>
      </x:c>
      <x:c r="I25" s="24" t="str">
        <x:v>編集上の目安・移動時間未実測</x:v>
      </x:c>
      <x:c r="J25" s="24" t="str">
        <x:v>保存工事後の再開案内を確認</x:v>
      </x:c>
      <x:c r="K25" s="24" t="str">
        <x:v>1月17日のSan Antónのパンとは別の聖人・行事。シドラはアストゥリアス文化との関係を明示。</x:v>
      </x:c>
      <x:c r="L25" s="24" t="str">
        <x:v>S53, S08</x:v>
      </x:c>
      <x:c r="M25" s="24" t="str">
        <x:v>https://www.madrid.es/portales/munimadrid/es/ErmitaDeSanAntonioDeLaFlorida/Ermita-de-San-Antonio-de-la-Florida/?vgnextchannel=33df541adec0b410VgnVCM1000000b205a0aRCRD&amp;vgnextfmt=default&amp;vgnextoid=797368822e3ab010VgnVCM100000d90ca8c0RCRD
https://www.casamingo.es/</x:v>
      </x:c>
      <x:c r="N25" s="24" t="str"/>
      <x:c r="O25" s="24" t="str"/>
    </x:row>
    <x:row r="26" ht="92" customHeight="1">
      <x:c r="A26" s="22" t="str">
        <x:v>L22</x:v>
      </x:c>
      <x:c r="B26" s="22" t="str">
        <x:v>マドリード・リオ</x:v>
      </x:c>
      <x:c r="C26" s="22" t="str">
        <x:v>Madrid Río</x:v>
      </x:c>
      <x:c r="D26" s="22" t="str">
        <x:v>マンサナーレス川沿い</x:v>
      </x:c>
      <x:c r="E26" s="22" t="str">
        <x:v>川沿いの散策・橋・文化施設を選んで見る。中心街の建物が続く記事に、広い屋外の場面を入れる。</x:v>
      </x:c>
      <x:c r="F26" s="22" t="str">
        <x:v>散策前後の軽食</x:v>
      </x:c>
      <x:c r="G26" s="22" t="str">
        <x:v>M021, M023</x:v>
      </x:c>
      <x:c r="H26" s="22" t="str">
        <x:v>1–2時間</x:v>
      </x:c>
      <x:c r="I26" s="22" t="str">
        <x:v>編集上の目安・移動時間未実測</x:v>
      </x:c>
      <x:c r="J26" s="22" t="str">
        <x:v>歩く区間を限定する</x:v>
      </x:c>
      <x:c r="K26" s="22" t="str">
        <x:v>広い公園全体を短時間で一周できると書かない。食事は周辺利用の提案。</x:v>
      </x:c>
      <x:c r="L26" s="22" t="str">
        <x:v>S55</x:v>
      </x:c>
      <x:c r="M26" s="22" t="str">
        <x:v>https://www.esmadrid.com/informacion-turistica/madrid-rio</x:v>
      </x:c>
      <x:c r="N26" s="22" t="str"/>
      <x:c r="O26" s="22" t="str"/>
    </x:row>
    <x:row r="27" ht="92" customHeight="1">
      <x:c r="A27" s="24" t="str">
        <x:v>L23</x:v>
      </x:c>
      <x:c r="B27" s="24" t="str">
        <x:v>サン・ミゲル市場</x:v>
      </x:c>
      <x:c r="C27" s="24" t="str">
        <x:v>Mercado de San Miguel</x:v>
      </x:c>
      <x:c r="D27" s="24" t="str">
        <x:v>マヨール広場西側</x:v>
      </x:c>
      <x:c r="E27" s="24" t="str">
        <x:v>一つの空間でスペイン各地の料理を選ぶ食の名所。『マドリード産だけの市場』ではなく全国の味が集まる場所として描く。</x:v>
      </x:c>
      <x:c r="F27" s="24" t="str">
        <x:v>ハム／魚介／米料理などを選択</x:v>
      </x:c>
      <x:c r="G27" s="24" t="str">
        <x:v>M035, M043, M057</x:v>
      </x:c>
      <x:c r="H27" s="24" t="str">
        <x:v>45–90分</x:v>
      </x:c>
      <x:c r="I27" s="24" t="str">
        <x:v>編集上の目安・移動時間未実測</x:v>
      </x:c>
      <x:c r="J27" s="24" t="str">
        <x:v>2026年2月26日の再開を公式確認</x:v>
      </x:c>
      <x:c r="K27" s="24" t="str">
        <x:v>年初の休業情報をそのまま掲載しない。市場全体の再開と個々の出店者の当日提供は別。</x:v>
      </x:c>
      <x:c r="L27" s="24" t="str">
        <x:v>S46, S47, S13</x:v>
      </x:c>
      <x:c r="M27" s="24" t="str">
        <x:v>https://mercadodesanmiguel.es/reapertura-del-mercado-de-san-miguel-tras-las-obras-de-conservacion/
https://www.esmadrid.com/mercados-gastronomia-madrid
https://mercadodesanmiguel.es/puestos/</x:v>
      </x:c>
      <x:c r="N27" s="24" t="str">
        <x:v>P024</x:v>
      </x:c>
      <x:c r="O27" s="24" t="str"/>
    </x:row>
    <x:row r="28" ht="92" customHeight="1">
      <x:c r="A28" s="22" t="str">
        <x:v>L24</x:v>
      </x:c>
      <x:c r="B28" s="22" t="str">
        <x:v>サン・アントン市場</x:v>
      </x:c>
      <x:c r="C28" s="22" t="str">
        <x:v>Mercado de San Antón</x:v>
      </x:c>
      <x:c r="D28" s="22" t="str">
        <x:v>チュエカ</x:v>
      </x:c>
      <x:c r="E28" s="22" t="str">
        <x:v>食材売場と飲食を組み合わせる市場。San Antónという名前を、同名の祭礼菓子の常設販売保証と結び付けない。</x:v>
      </x:c>
      <x:c r="F28" s="22" t="str">
        <x:v>売場で確認した小皿・軽食</x:v>
      </x:c>
      <x:c r="G28" s="22" t="str">
        <x:v>M023, M022</x:v>
      </x:c>
      <x:c r="H28" s="22" t="str">
        <x:v>45–75分</x:v>
      </x:c>
      <x:c r="I28" s="22" t="str">
        <x:v>編集上の目安・移動時間未実測</x:v>
      </x:c>
      <x:c r="J28" s="22" t="str">
        <x:v>各売場・飲食店の営業確認</x:v>
      </x:c>
      <x:c r="K28" s="22" t="str">
        <x:v>市場・店舗の入替えや階別営業時間は当日案内を確認。</x:v>
      </x:c>
      <x:c r="L28" s="22" t="str">
        <x:v>S47</x:v>
      </x:c>
      <x:c r="M28" s="22" t="str">
        <x:v>https://www.esmadrid.com/mercados-gastronomia-madrid</x:v>
      </x:c>
      <x:c r="N28" s="22" t="str"/>
      <x:c r="O28" s="22" t="str"/>
    </x:row>
    <x:row r="29" ht="92" customHeight="1">
      <x:c r="A29" s="24" t="str">
        <x:v>L25</x:v>
      </x:c>
      <x:c r="B29" s="24" t="str">
        <x:v>アントン・マルティン市場</x:v>
      </x:c>
      <x:c r="C29" s="24" t="str">
        <x:v>Mercado de Antón Martín</x:v>
      </x:c>
      <x:c r="D29" s="24" t="str">
        <x:v>ラス・レトラス南／ラバピエス北</x:v>
      </x:c>
      <x:c r="E29" s="24" t="str">
        <x:v>伝統的な市場機能と多国籍の飲食店が共存する場所。郷土料理だけに絞らない現在の街を紹介できる。</x:v>
      </x:c>
      <x:c r="F29" s="24" t="str">
        <x:v>市場の小皿料理・各地の料理</x:v>
      </x:c>
      <x:c r="G29" s="24" t="str">
        <x:v>M023, M022</x:v>
      </x:c>
      <x:c r="H29" s="24" t="str">
        <x:v>45–90分</x:v>
      </x:c>
      <x:c r="I29" s="24" t="str">
        <x:v>編集上の目安・移動時間未実測</x:v>
      </x:c>
      <x:c r="J29" s="24" t="str">
        <x:v>個店ごとの営業確認</x:v>
      </x:c>
      <x:c r="K29" s="24" t="str">
        <x:v>全ての店をスペイン料理店として紹介しない。</x:v>
      </x:c>
      <x:c r="L29" s="24" t="str">
        <x:v>S47</x:v>
      </x:c>
      <x:c r="M29" s="24" t="str">
        <x:v>https://www.esmadrid.com/mercados-gastronomia-madrid</x:v>
      </x:c>
      <x:c r="N29" s="24" t="str"/>
      <x:c r="O29" s="24" t="str"/>
    </x:row>
    <x:row r="30" ht="92" customHeight="1">
      <x:c r="A30" s="22" t="str">
        <x:v>L26</x:v>
      </x:c>
      <x:c r="B30" s="22" t="str">
        <x:v>ラ・パス市場</x:v>
      </x:c>
      <x:c r="C30" s="22" t="str">
        <x:v>Mercado de la Paz</x:v>
      </x:c>
      <x:c r="D30" s="22" t="str">
        <x:v>サラマンカ地区</x:v>
      </x:c>
      <x:c r="E30" s="22" t="str">
        <x:v>買物と食事を合わせる地区の市場。観光用の料理写真だけでなく、売場や食材の写真を加える調査先。</x:v>
      </x:c>
      <x:c r="F30" s="22" t="str">
        <x:v>トルティージャ／チーズ等を現地メニューで確認</x:v>
      </x:c>
      <x:c r="G30" s="22" t="str">
        <x:v>M023, M087</x:v>
      </x:c>
      <x:c r="H30" s="22" t="str">
        <x:v>45–75分</x:v>
      </x:c>
      <x:c r="I30" s="22" t="str">
        <x:v>編集上の目安・移動時間未実測</x:v>
      </x:c>
      <x:c r="J30" s="22" t="str">
        <x:v>個店ごとの営業確認</x:v>
      </x:c>
      <x:c r="K30" s="22" t="str">
        <x:v>売場のチーズがCampo Real産かは商品表示で確認。市場写真から原産地認証は判定しない。</x:v>
      </x:c>
      <x:c r="L30" s="22" t="str">
        <x:v>S47</x:v>
      </x:c>
      <x:c r="M30" s="22" t="str">
        <x:v>https://www.esmadrid.com/mercados-gastronomia-madrid</x:v>
      </x:c>
      <x:c r="N30" s="22" t="str"/>
      <x:c r="O30" s="22" t="str"/>
    </x:row>
    <x:row r="31" ht="92" customHeight="1">
      <x:c r="A31" s="24" t="str">
        <x:v>L27</x:v>
      </x:c>
      <x:c r="B31" s="24" t="str">
        <x:v>アルカラ・デ・エナレス</x:v>
      </x:c>
      <x:c r="C31" s="24" t="str">
        <x:v>Alcalá de Henares</x:v>
      </x:c>
      <x:c r="D31" s="24" t="str">
        <x:v>マドリード州・東側</x:v>
      </x:c>
      <x:c r="E31" s="24" t="str">
        <x:v>大学とセルバンテスゆかりの街歩きに、コストラーダ、ロスキージャ、修道院のアーモンド菓子を添える。名所と菓子の結び付きが強い日帰り候補。</x:v>
      </x:c>
      <x:c r="F31" s="24" t="str">
        <x:v>コストラーダ／ロスキージャ・デ・アルカラ</x:v>
      </x:c>
      <x:c r="G31" s="24" t="str">
        <x:v>M082</x:v>
      </x:c>
      <x:c r="H31" s="24" t="str">
        <x:v>半日〜1日</x:v>
      </x:c>
      <x:c r="I31" s="24" t="str">
        <x:v>編集上の目安・移動時間未実測</x:v>
      </x:c>
      <x:c r="J31" s="24" t="str">
        <x:v>市内観光とは別枠</x:v>
      </x:c>
      <x:c r="K31" s="24" t="str">
        <x:v>マドリード市内ではない。コストラーダの考案者は一説に断定しない。</x:v>
      </x:c>
      <x:c r="L31" s="24" t="str">
        <x:v>S56, S36, S73, S74, S75</x:v>
      </x:c>
      <x:c r="M31" s="24" t="str">
        <x:v>https://www.esmadrid.com/en/trips-alcala-henares
https://elparaisodelosgolosos.blogspot.com/2023/07/costrada-de-alcala-de-henares.html
https://www.turismoalcala.es/gastronomia-restaurantes-alcala-de-henares/
https://bake-street.com/en/costrada-de-alcala-de-henares/
https://www.alcalahoy.es/2024/11/28/primer-concurso-de-la-costrada-patrimonio-gastronomico-de-alcala/</x:v>
      </x:c>
      <x:c r="N31" s="24" t="str">
        <x:v>P042, P043, P044</x:v>
      </x:c>
      <x:c r="O31" s="24" t="str">
        <x:v>コストラーダの地域性を市公式で補強。起源の年・店名は未確定。</x:v>
      </x:c>
    </x:row>
    <x:row r="32" ht="92" customHeight="1">
      <x:c r="A32" s="22" t="str">
        <x:v>L28</x:v>
      </x:c>
      <x:c r="B32" s="22" t="str">
        <x:v>アランフエス</x:v>
      </x:c>
      <x:c r="C32" s="22" t="str">
        <x:v>Aranjuez</x:v>
      </x:c>
      <x:c r="D32" s="22" t="str">
        <x:v>マドリード州・南側</x:v>
      </x:c>
      <x:c r="E32" s="22" t="str">
        <x:v>王宮と庭園だけでなく、周囲の菜園が生む食材を紹介する。イチゴやアスパラガスを庭園の町の食として扱う。</x:v>
      </x:c>
      <x:c r="F32" s="22" t="str">
        <x:v>地元産イチゴ／アスパラガス</x:v>
      </x:c>
      <x:c r="G32" s="22" t="str">
        <x:v>M088, M089</x:v>
      </x:c>
      <x:c r="H32" s="22" t="str">
        <x:v>半日〜1日</x:v>
      </x:c>
      <x:c r="I32" s="22" t="str">
        <x:v>編集上の目安・移動時間未実測</x:v>
      </x:c>
      <x:c r="J32" s="22" t="str">
        <x:v>旬と地元産の入荷を確認</x:v>
      </x:c>
      <x:c r="K32" s="22" t="str">
        <x:v>売られている全てのイチゴが地元産とは限らない。季節外の入荷や産地は店に確認。</x:v>
      </x:c>
      <x:c r="L32" s="22" t="str">
        <x:v>S57, S76, S77</x:v>
      </x:c>
      <x:c r="M32" s="22" t="str">
        <x:v>https://www.esmadrid.com/en/trips-aranjuez
https://www.fresasdearanjuez.es/
https://delahuertadearanjuez.es/esparrago-de-aranjuez/</x:v>
      </x:c>
      <x:c r="N32" s="22" t="str"/>
      <x:c r="O32" s="22" t="str">
        <x:v>菜園の食材を生産者資料で補強。春の緑アスパラガス、小さなfresaとfresónの違い。</x:v>
      </x:c>
    </x:row>
    <x:row r="33" ht="92" customHeight="1">
      <x:c r="A33" s="24" t="str">
        <x:v>L29</x:v>
      </x:c>
      <x:c r="B33" s="24" t="str">
        <x:v>チンチョン</x:v>
      </x:c>
      <x:c r="C33" s="24" t="str">
        <x:v>Chinchón</x:v>
      </x:c>
      <x:c r="D33" s="24" t="str">
        <x:v>マドリード州・南東側</x:v>
      </x:c>
      <x:c r="E33" s="24" t="str">
        <x:v>緑色の木のバルコニーが並ぶ中央広場と、アニスやニンニクの土地の食を組み合わせる。街並みと特産品が一緒に伝わる。</x:v>
      </x:c>
      <x:c r="F33" s="24" t="str">
        <x:v>アニス／仔羊・仔豚の焼き物</x:v>
      </x:c>
      <x:c r="G33" s="24" t="str">
        <x:v>M099, M042, M041</x:v>
      </x:c>
      <x:c r="H33" s="24" t="str">
        <x:v>半日〜1日</x:v>
      </x:c>
      <x:c r="I33" s="24" t="str">
        <x:v>編集上の目安・移動時間未実測</x:v>
      </x:c>
      <x:c r="J33" s="24" t="str">
        <x:v>移動手段と帰路確認</x:v>
      </x:c>
      <x:c r="K33" s="24" t="str">
        <x:v>アニスは酒。飲めない人には料理・菓子を中心に。城の内部見学は前提にしない。</x:v>
      </x:c>
      <x:c r="L33" s="24" t="str">
        <x:v>S58</x:v>
      </x:c>
      <x:c r="M33" s="24" t="str">
        <x:v>https://www.esmadrid.com/en/chinchon</x:v>
      </x:c>
      <x:c r="N33" s="24" t="str"/>
      <x:c r="O33" s="24" t="str"/>
    </x:row>
    <x:row r="34" ht="92" customHeight="1">
      <x:c r="A34" s="22" t="str">
        <x:v>L30</x:v>
      </x:c>
      <x:c r="B34" s="22" t="str">
        <x:v>サン・ロレンソ・デ・エル・エスコリアル</x:v>
      </x:c>
      <x:c r="C34" s="22" t="str">
        <x:v>San Lorenzo de El Escorial</x:v>
      </x:c>
      <x:c r="D34" s="22" t="str">
        <x:v>マドリード州・北西側</x:v>
      </x:c>
      <x:c r="E34" s="22" t="str">
        <x:v>大規模な修道院・宮殿の複合施設を見学する日帰り候補。中心街と違う山側の景色を加えられる。</x:v>
      </x:c>
      <x:c r="F34" s="22" t="str">
        <x:v>周辺でカスティーリャ系の焼き物</x:v>
      </x:c>
      <x:c r="G34" s="22" t="str">
        <x:v>M042</x:v>
      </x:c>
      <x:c r="H34" s="22" t="str">
        <x:v>半日〜1日</x:v>
      </x:c>
      <x:c r="I34" s="22" t="str">
        <x:v>編集上の目安・移動時間未実測</x:v>
      </x:c>
      <x:c r="J34" s="22" t="str">
        <x:v>施設予約・帰路確認</x:v>
      </x:c>
      <x:c r="K34" s="22" t="str">
        <x:v>焼き物をこの町だけの発祥料理としない。料理の現行提供店は未確定。</x:v>
      </x:c>
      <x:c r="L34" s="22" t="str">
        <x:v>S59</x:v>
      </x:c>
      <x:c r="M34" s="22" t="str">
        <x:v>https://www.esmadrid.com/en/trips-el-escorial</x:v>
      </x:c>
      <x:c r="N34" s="22" t="str"/>
      <x:c r="O34" s="22" t="str"/>
    </x:row>
    <x:row r="35">
      <x:c r="A35" s="6"/>
      <x:c r="B35" s="6"/>
      <x:c r="C35" s="6"/>
      <x:c r="D35" s="6"/>
      <x:c r="E35" s="6"/>
      <x:c r="F35" s="6"/>
      <x:c r="G35" s="6"/>
      <x:c r="H35" s="6"/>
      <x:c r="I35" s="6"/>
      <x:c r="J35" s="6"/>
      <x:c r="K35" s="6"/>
      <x:c r="L35" s="6"/>
      <x:c r="M35" s="6"/>
      <x:c r="N35" s="6"/>
      <x:c r="O35" s="6"/>
    </x:row>
  </x:sheetData>
  <x:mergeCells>
    <x:mergeCell ref="A1:O1"/>
    <x:mergeCell ref="A2:O2"/>
  </x:mergeCells>
  <x:pageMargins left="0.7" right="0.7" top="0.75" bottom="0.75" header="0.3" footer="0.3"/>
  <x:tableParts count="1">
    <x:tablePart xmlns:r="http://schemas.openxmlformats.org/officeDocument/2006/relationships" r:id="R17fa97e796c240ff"/>
  </x:tableParts>
</x:worksheet>
</file>

<file path=xl/worksheets/sheet5.xml><?xml version="1.0" encoding="utf-8"?>
<x:worksheet xmlns:x="http://schemas.openxmlformats.org/spreadsheetml/2006/main">
  <x:sheetFormatPr defaultRowHeight="15"/>
  <x:cols>
    <x:col min="1" max="1" width="9" hidden="0" customWidth="1"/>
    <x:col min="2" max="2" width="38" hidden="0" customWidth="1"/>
    <x:col min="3" max="3" width="40" hidden="0" customWidth="1"/>
    <x:col min="4" max="4" width="24" hidden="0" customWidth="1"/>
    <x:col min="5" max="5" width="14" hidden="0" customWidth="1"/>
    <x:col min="6" max="6" width="31" hidden="0" customWidth="1"/>
    <x:col min="7" max="7" width="40" hidden="0" customWidth="1"/>
  </x:cols>
  <x:sheetData>
    <x:row r="1" ht="32" customHeight="1">
      <x:c r="A1" s="9" t="str">
        <x:v>情報源 86 URL</x:v>
      </x:c>
      <x:c r="B1" s="9"/>
      <x:c r="C1" s="9"/>
      <x:c r="D1" s="9"/>
      <x:c r="E1" s="9"/>
      <x:c r="F1" s="9"/>
      <x:c r="G1" s="9"/>
    </x:row>
    <x:row r="2" ht="32" customHeight="1">
      <x:c r="A2" s="13" t="str">
        <x:v>S71–S86が今回追加。URL数と独立した裏付けの数は同じではありません。写真の原典URLは別シートです。</x:v>
      </x:c>
      <x:c r="B2" s="13"/>
      <x:c r="C2" s="13"/>
      <x:c r="D2" s="13"/>
      <x:c r="E2" s="13"/>
      <x:c r="F2" s="13"/>
      <x:c r="G2" s="13"/>
    </x:row>
    <x:row r="3">
      <x:c r="A3" s="6"/>
      <x:c r="B3" s="6"/>
      <x:c r="C3" s="6"/>
      <x:c r="D3" s="6"/>
      <x:c r="E3" s="6"/>
      <x:c r="F3" s="6"/>
      <x:c r="G3" s="6"/>
    </x:row>
    <x:row r="4" ht="32" customHeight="1">
      <x:c r="A4" s="18" t="str">
        <x:v>ID</x:v>
      </x:c>
      <x:c r="B4" s="18" t="str">
        <x:v>資料名</x:v>
      </x:c>
      <x:c r="C4" s="18" t="str">
        <x:v>URL</x:v>
      </x:c>
      <x:c r="D4" s="18" t="str">
        <x:v>種別</x:v>
      </x:c>
      <x:c r="E4" s="18" t="str">
        <x:v>確認日</x:v>
      </x:c>
      <x:c r="F4" s="18" t="str">
        <x:v>今回／継承</x:v>
      </x:c>
      <x:c r="G4" s="18" t="str">
        <x:v>確認範囲と限界</x:v>
      </x:c>
    </x:row>
    <x:row r="5" ht="92" customHeight="1">
      <x:c r="A5" s="24" t="str">
        <x:v>S01</x:v>
      </x:c>
      <x:c r="B5" s="24" t="str">
        <x:v>マドリードの郷土料理（市公式・ドイツ語）</x:v>
      </x:c>
      <x:c r="C5" s="24" t="str">
        <x:v>https://www.esmadrid.com/de/madrider-gastronomie</x:v>
      </x:c>
      <x:c r="D5" s="24" t="str">
        <x:v>既存資料</x:v>
      </x:c>
      <x:c r="E5" s="24" t="str">
        <x:v>2026-09-27</x:v>
      </x:c>
      <x:c r="F5" s="24" t="str">
        <x:v>前回調査から継承・2026-09-27</x:v>
      </x:c>
      <x:c r="G5" s="24" t="str">
        <x:v>種別：市観光局／確認日：2026-09-27
郷土料理とスペイン各地から受容した料理を区別する。
関連部分を閲覧。全文の翻訳・独立した全記述の検証ではない。</x:v>
      </x:c>
    </x:row>
    <x:row r="6" ht="92" customHeight="1">
      <x:c r="A6" s="22" t="str">
        <x:v>S02</x:v>
      </x:c>
      <x:c r="B6" s="22" t="str">
        <x:v>伝統菓子（市公式・スペイン語）</x:v>
      </x:c>
      <x:c r="C6" s="22" t="str">
        <x:v>https://www.esmadrid.com/reposteria-tradicional</x:v>
      </x:c>
      <x:c r="D6" s="22" t="str">
        <x:v>既存資料</x:v>
      </x:c>
      <x:c r="E6" s="22" t="str">
        <x:v>2026-09-27</x:v>
      </x:c>
      <x:c r="F6" s="22" t="str">
        <x:v>前回調査から継承・2026-09-27</x:v>
      </x:c>
      <x:c r="G6" s="22" t="str">
        <x:v>種別：市観光局／確認日：2026-09-27
季節菓子の整理。創業年など一部は店公式との照合が必要。
関連部分を閲覧。全文の翻訳・独立した全記述の検証ではない。</x:v>
      </x:c>
    </x:row>
    <x:row r="7" ht="92" customHeight="1">
      <x:c r="A7" s="24" t="str">
        <x:v>S03</x:v>
      </x:c>
      <x:c r="B7" s="24" t="str">
        <x:v>Casa Enriqueta 公式メニュー</x:v>
      </x:c>
      <x:c r="C7" s="24" t="str">
        <x:v>https://gallinejasenriqueta.es/nuestra-carta-la-carta</x:v>
      </x:c>
      <x:c r="D7" s="24" t="str">
        <x:v>既存資料</x:v>
      </x:c>
      <x:c r="E7" s="24" t="str">
        <x:v>2026-09-27</x:v>
      </x:c>
      <x:c r="F7" s="24" t="str">
        <x:v>前回調査から継承・2026-09-27</x:v>
      </x:c>
      <x:c r="G7" s="24" t="str">
        <x:v>種別：店舗公式／確認日：2026-09-27
羊の部位説明・実売メニュー。全品の発祥を証明する資料ではない。
関連部分を閲覧。全文の翻訳・独立した全記述の検証ではない。 同サイトの /menus には未編集のテンプレートらしい料理・ドル価格が混在するため、資料として採用しない。</x:v>
      </x:c>
    </x:row>
    <x:row r="8" ht="92" customHeight="1">
      <x:c r="A8" s="22" t="str">
        <x:v>S04</x:v>
      </x:c>
      <x:c r="B8" s="22" t="str">
        <x:v>Lhardy 公式メニュー</x:v>
      </x:c>
      <x:c r="C8" s="22" t="str">
        <x:v>https://lhardy.com/carta/</x:v>
      </x:c>
      <x:c r="D8" s="22" t="str">
        <x:v>既存資料</x:v>
      </x:c>
      <x:c r="E8" s="22" t="str">
        <x:v>2026-09-27</x:v>
      </x:c>
      <x:c r="F8" s="22" t="str">
        <x:v>前回調査から継承・2026-09-27</x:v>
      </x:c>
      <x:c r="G8" s="22" t="str">
        <x:v>種別：店舗公式／確認日：2026-09-27
店固有の料理・価格。一般的な相場と同一視しない。
関連部分を閲覧。全文の翻訳・独立した全記述の検証ではない。</x:v>
      </x:c>
    </x:row>
    <x:row r="9" ht="92" customHeight="1">
      <x:c r="A9" s="24" t="str">
        <x:v>S05</x:v>
      </x:c>
      <x:c r="B9" s="24" t="str">
        <x:v>Lhardy 店舗・販売情報</x:v>
      </x:c>
      <x:c r="C9" s="24" t="str">
        <x:v>https://lhardy.com/</x:v>
      </x:c>
      <x:c r="D9" s="24" t="str">
        <x:v>既存資料</x:v>
      </x:c>
      <x:c r="E9" s="24" t="str">
        <x:v>2026-09-27</x:v>
      </x:c>
      <x:c r="F9" s="24" t="str">
        <x:v>前回調査から継承・2026-09-27</x:v>
      </x:c>
      <x:c r="G9" s="24" t="str">
        <x:v>種別：店舗公式／確認日：2026-09-27
コンソメの販売など。
関連部分を閲覧。全文の翻訳・独立した全記述の検証ではない。</x:v>
      </x:c>
    </x:row>
    <x:row r="10" ht="92" customHeight="1">
      <x:c r="A10" s="22" t="str">
        <x:v>S06</x:v>
      </x:c>
      <x:c r="B10" s="22" t="str">
        <x:v>Casa Alberto 公式メニュー</x:v>
      </x:c>
      <x:c r="C10" s="22" t="str">
        <x:v>https://www.casaalberto.es/carta-restaurante-en?idIdioma=2</x:v>
      </x:c>
      <x:c r="D10" s="22" t="str">
        <x:v>既存資料</x:v>
      </x:c>
      <x:c r="E10" s="22" t="str">
        <x:v>2026-09-27</x:v>
      </x:c>
      <x:c r="F10" s="22" t="str">
        <x:v>前回調査から継承・2026-09-27</x:v>
      </x:c>
      <x:c r="G10" s="22" t="str">
        <x:v>種別：店舗公式／確認日：2026-09-27
現地での提供確認。味・発祥の証明は別途。
関連部分を閲覧。全文の翻訳・独立した全記述の検証ではない。</x:v>
      </x:c>
    </x:row>
    <x:row r="11" ht="92" customHeight="1">
      <x:c r="A11" s="24" t="str">
        <x:v>S07</x:v>
      </x:c>
      <x:c r="B11" s="24" t="str">
        <x:v>Casa Ciriaco 公式メニュー</x:v>
      </x:c>
      <x:c r="C11" s="24" t="str">
        <x:v>https://www.casaciriaco.es/carta-restaurante</x:v>
      </x:c>
      <x:c r="D11" s="24" t="str">
        <x:v>既存資料</x:v>
      </x:c>
      <x:c r="E11" s="24" t="str">
        <x:v>2026-09-27</x:v>
      </x:c>
      <x:c r="F11" s="24" t="str">
        <x:v>前回調査から継承・2026-09-27</x:v>
      </x:c>
      <x:c r="G11" s="24" t="str">
        <x:v>種別：店舗公式／確認日：2026-09-27
関連部分を閲覧。全文の翻訳・独立した全記述の検証ではない。</x:v>
      </x:c>
    </x:row>
    <x:row r="12" ht="92" customHeight="1">
      <x:c r="A12" s="22" t="str">
        <x:v>S08</x:v>
      </x:c>
      <x:c r="B12" s="22" t="str">
        <x:v>Casa Mingo 公式サイト</x:v>
      </x:c>
      <x:c r="C12" s="22" t="str">
        <x:v>https://www.casamingo.es/</x:v>
      </x:c>
      <x:c r="D12" s="22" t="str">
        <x:v>既存資料</x:v>
      </x:c>
      <x:c r="E12" s="22" t="str">
        <x:v>2026-09-27</x:v>
      </x:c>
      <x:c r="F12" s="22" t="str">
        <x:v>前回調査から継承・2026-09-27</x:v>
      </x:c>
      <x:c r="G12" s="22" t="str">
        <x:v>種別：店舗公式／確認日：2026-09-27
名物のローストチキンとシドラ。メニューページ取得は失敗したため価格未採録。
関連部分を閲覧。全文の翻訳・独立した全記述の検証ではない。</x:v>
      </x:c>
    </x:row>
    <x:row r="13" ht="92" customHeight="1">
      <x:c r="A13" s="24" t="str">
        <x:v>S09</x:v>
      </x:c>
      <x:c r="B13" s="24" t="str">
        <x:v>El Escarpín 公式料理・価格一覧</x:v>
      </x:c>
      <x:c r="C13" s="24" t="str">
        <x:v>https://elescarpinsidreria.com/</x:v>
      </x:c>
      <x:c r="D13" s="24" t="str">
        <x:v>既存資料</x:v>
      </x:c>
      <x:c r="E13" s="24" t="str">
        <x:v>2026-09-27</x:v>
      </x:c>
      <x:c r="F13" s="24" t="str">
        <x:v>前回調査から継承・2026-09-27</x:v>
      </x:c>
      <x:c r="G13" s="24" t="str">
        <x:v>種別：店舗公式／確認日：2026-09-27
マドリード中心部のアストゥリアス料理店。
関連部分を閲覧。全文の翻訳・独立した全記述の検証ではない。</x:v>
      </x:c>
    </x:row>
    <x:row r="14" ht="92" customHeight="1">
      <x:c r="A14" s="22" t="str">
        <x:v>S10</x:v>
      </x:c>
      <x:c r="B14" s="22" t="str">
        <x:v>La Mallorquina 菓子パン一覧</x:v>
      </x:c>
      <x:c r="C14" s="22" t="str">
        <x:v>https://pastelerialamallorquina.es/bolleria/</x:v>
      </x:c>
      <x:c r="D14" s="22" t="str">
        <x:v>既存資料</x:v>
      </x:c>
      <x:c r="E14" s="22" t="str">
        <x:v>2026-09-27</x:v>
      </x:c>
      <x:c r="F14" s="22" t="str">
        <x:v>前回調査から継承・2026-09-27</x:v>
      </x:c>
      <x:c r="G14" s="22" t="str">
        <x:v>種別：製造販売元／確認日：2026-09-27
オンライン販売価格。店頭1個売りの価格とは分ける。
関連部分を閲覧。全文の翻訳・独立した全記述の検証ではない。</x:v>
      </x:c>
    </x:row>
    <x:row r="15" ht="92" customHeight="1">
      <x:c r="A15" s="24" t="str">
        <x:v>S11</x:v>
      </x:c>
      <x:c r="B15" s="24" t="str">
        <x:v>La Mallorquina 塩味商品一覧</x:v>
      </x:c>
      <x:c r="C15" s="24" t="str">
        <x:v>https://pastelerialamallorquina.es/salados/</x:v>
      </x:c>
      <x:c r="D15" s="24" t="str">
        <x:v>既存資料</x:v>
      </x:c>
      <x:c r="E15" s="24" t="str">
        <x:v>2026-09-27</x:v>
      </x:c>
      <x:c r="F15" s="24" t="str">
        <x:v>前回調査から継承・2026-09-27</x:v>
      </x:c>
      <x:c r="G15" s="24" t="str">
        <x:v>種別：製造販売元／確認日：2026-09-27
関連部分を閲覧。全文の翻訳・独立した全記述の検証ではない。</x:v>
      </x:c>
    </x:row>
    <x:row r="16" ht="92" customHeight="1">
      <x:c r="A16" s="22" t="str">
        <x:v>S12</x:v>
      </x:c>
      <x:c r="B16" s="22" t="str">
        <x:v>La Mallorquina 特製菓子一覧</x:v>
      </x:c>
      <x:c r="C16" s="22" t="str">
        <x:v>https://pastelerialamallorquina.es/especialidades/</x:v>
      </x:c>
      <x:c r="D16" s="22" t="str">
        <x:v>既存資料</x:v>
      </x:c>
      <x:c r="E16" s="22" t="str">
        <x:v>2026-09-27</x:v>
      </x:c>
      <x:c r="F16" s="22" t="str">
        <x:v>前回調査から継承・2026-09-27</x:v>
      </x:c>
      <x:c r="G16" s="22" t="str">
        <x:v>種別：製造販売元／確認日：2026-09-27
関連部分を閲覧。全文の翻訳・独立した全記述の検証ではない。</x:v>
      </x:c>
    </x:row>
    <x:row r="17" ht="92" customHeight="1">
      <x:c r="A17" s="24" t="str">
        <x:v>S13</x:v>
      </x:c>
      <x:c r="B17" s="24" t="str">
        <x:v>San Miguel市場 出店者一覧</x:v>
      </x:c>
      <x:c r="C17" s="24" t="str">
        <x:v>https://mercadodesanmiguel.es/puestos/</x:v>
      </x:c>
      <x:c r="D17" s="24" t="str">
        <x:v>既存資料</x:v>
      </x:c>
      <x:c r="E17" s="24" t="str">
        <x:v>2026-09-27</x:v>
      </x:c>
      <x:c r="F17" s="24" t="str">
        <x:v>前回調査から継承・2026-09-27</x:v>
      </x:c>
      <x:c r="G17" s="24" t="str">
        <x:v>種別：市場公式／確認日：2026-09-27
写真使用許諾を兼ねない。
関連部分を閲覧。全文の翻訳・独立した全記述の検証ではない。</x:v>
      </x:c>
    </x:row>
    <x:row r="18" ht="92" customHeight="1">
      <x:c r="A18" s="22" t="str">
        <x:v>S14</x:v>
      </x:c>
      <x:c r="B18" s="22" t="str">
        <x:v>La Caníbal 公式サイト</x:v>
      </x:c>
      <x:c r="C18" s="22" t="str">
        <x:v>https://lacanibal.com/</x:v>
      </x:c>
      <x:c r="D18" s="22" t="str">
        <x:v>既存資料</x:v>
      </x:c>
      <x:c r="E18" s="22" t="str">
        <x:v>2026-09-27</x:v>
      </x:c>
      <x:c r="F18" s="22" t="str">
        <x:v>前回調査から継承・2026-09-27</x:v>
      </x:c>
      <x:c r="G18" s="22" t="str">
        <x:v>種別：店舗・醸造者公式／確認日：2026-09-27
マドリードのクラフトビール。
関連部分を閲覧。全文の翻訳・独立した全記述の検証ではない。</x:v>
      </x:c>
    </x:row>
    <x:row r="19" ht="92" customHeight="1">
      <x:c r="A19" s="24" t="str">
        <x:v>S15</x:v>
      </x:c>
      <x:c r="B19" s="24" t="str">
        <x:v>Casa del Abuelo 公式サイト</x:v>
      </x:c>
      <x:c r="C19" s="24" t="str">
        <x:v>https://www.lacasadelabuelo.es/</x:v>
      </x:c>
      <x:c r="D19" s="24" t="str">
        <x:v>既存資料</x:v>
      </x:c>
      <x:c r="E19" s="24" t="str">
        <x:v>2026-09-27</x:v>
      </x:c>
      <x:c r="F19" s="24" t="str">
        <x:v>前回調査から継承・2026-09-27</x:v>
      </x:c>
      <x:c r="G19" s="24" t="str">
        <x:v>種別：店舗公式／確認日：2026-09-27
ガンバスの店。自社ワインはToro産でありMadrid産ではない。
関連部分を閲覧。全文の翻訳・独立した全記述の検証ではない。</x:v>
      </x:c>
    </x:row>
    <x:row r="20" ht="92" customHeight="1">
      <x:c r="A20" s="22" t="str">
        <x:v>S16</x:v>
      </x:c>
      <x:c r="B20" s="22" t="str">
        <x:v>ガリネハスとエントレシホス</x:v>
      </x:c>
      <x:c r="C20" s="22" t="str">
        <x:v>https://blog.esmadrid.com/blog/es/2025/11/13/gallinejas-y-entresijos-el-madrid-castizo/</x:v>
      </x:c>
      <x:c r="D20" s="22" t="str">
        <x:v>既存資料</x:v>
      </x:c>
      <x:c r="E20" s="22" t="str">
        <x:v>2026-09-27</x:v>
      </x:c>
      <x:c r="F20" s="22" t="str">
        <x:v>前回調査から継承・2026-09-27</x:v>
      </x:c>
      <x:c r="G20" s="22" t="str">
        <x:v>種別：市観光局・専門団体／確認日：2026-09-27
2025-11-13。部位・揚げ方・祭りとの関係。
関連部分を閲覧。全文の翻訳・独立した全記述の検証ではない。</x:v>
      </x:c>
    </x:row>
    <x:row r="21" ht="92" customHeight="1">
      <x:c r="A21" s="24" t="str">
        <x:v>S17</x:v>
      </x:c>
      <x:c r="B21" s="24" t="str">
        <x:v>市観光局・料理人協力のレシピ集</x:v>
      </x:c>
      <x:c r="C21" s="24" t="str">
        <x:v>https://www.esmadrid.com/recetas-madrid</x:v>
      </x:c>
      <x:c r="D21" s="24" t="str">
        <x:v>既存資料</x:v>
      </x:c>
      <x:c r="E21" s="24" t="str">
        <x:v>2026-09-28</x:v>
      </x:c>
      <x:c r="F21" s="24" t="str">
        <x:v>今回も該当箇所を確認（前回から継承）</x:v>
      </x:c>
      <x:c r="G21" s="24" t="str">
        <x:v>種別：市観光局／確認日：2026-09-27
個別レシピへの入口。記事内リンクの飲食店は営業再確認が必要。
関連部分を閲覧。全文の翻訳・独立した全記述の検証ではない。</x:v>
      </x:c>
    </x:row>
    <x:row r="22" ht="92" customHeight="1">
      <x:c r="A22" s="22" t="str">
        <x:v>S18</x:v>
      </x:c>
      <x:c r="B22" s="22" t="str">
        <x:v>La Claveのコシードと各店の違い</x:v>
      </x:c>
      <x:c r="C22" s="22" t="str">
        <x:v>https://www.esmadrid.com/cocidos-madrid-receta-la-clave</x:v>
      </x:c>
      <x:c r="D22" s="22" t="str">
        <x:v>既存資料</x:v>
      </x:c>
      <x:c r="E22" s="22" t="str">
        <x:v>2026-09-27</x:v>
      </x:c>
      <x:c r="F22" s="22" t="str">
        <x:v>前回調査から継承・2026-09-27</x:v>
      </x:c>
      <x:c r="G22" s="22" t="str">
        <x:v>種別：市観光局・料理人提供／確認日：2026-09-27
歴史の系譜は断定を避ける。La Claveは4回に分ける例。
関連部分を閲覧。全文の翻訳・独立した全記述の検証ではない。</x:v>
      </x:c>
    </x:row>
    <x:row r="23" ht="92" customHeight="1">
      <x:c r="A23" s="24" t="str">
        <x:v>S19</x:v>
      </x:c>
      <x:c r="B23" s="24" t="str">
        <x:v>Botínのニンニクスープなど</x:v>
      </x:c>
      <x:c r="C23" s="24" t="str">
        <x:v>https://www.esmadrid.com/sopas-madrid-receta-casa-botin</x:v>
      </x:c>
      <x:c r="D23" s="24" t="str">
        <x:v>既存資料</x:v>
      </x:c>
      <x:c r="E23" s="24" t="str">
        <x:v>2026-09-27</x:v>
      </x:c>
      <x:c r="F23" s="24" t="str">
        <x:v>前回調査から継承・2026-09-27</x:v>
      </x:c>
      <x:c r="G23" s="24" t="str">
        <x:v>種別：市観光局・料理人提供／確認日：2026-09-27
関連部分を閲覧。全文の翻訳・独立した全記述の検証ではない。</x:v>
      </x:c>
    </x:row>
    <x:row r="24" ht="92" customHeight="1">
      <x:c r="A24" s="22" t="str">
        <x:v>S20</x:v>
      </x:c>
      <x:c r="B24" s="22" t="str">
        <x:v>El Riojanoのコロナ・デ・ラ・アルムデナ</x:v>
      </x:c>
      <x:c r="C24" s="22" t="str">
        <x:v>https://www.esmadrid.com/corona-almudena-madrid-receta-el-riojano</x:v>
      </x:c>
      <x:c r="D24" s="22" t="str">
        <x:v>既存資料</x:v>
      </x:c>
      <x:c r="E24" s="22" t="str">
        <x:v>2026-09-27</x:v>
      </x:c>
      <x:c r="F24" s="22" t="str">
        <x:v>前回調査から継承・2026-09-27</x:v>
      </x:c>
      <x:c r="G24" s="22" t="str">
        <x:v>種別：市観光局・製造者提供／確認日：2026-09-27
関連部分を閲覧。全文の翻訳・独立した全記述の検証ではない。</x:v>
      </x:c>
    </x:row>
    <x:row r="25" ht="92" customHeight="1">
      <x:c r="A25" s="24" t="str">
        <x:v>S21</x:v>
      </x:c>
      <x:c r="B25" s="24" t="str">
        <x:v>La Mallorquinaのブニュエロス</x:v>
      </x:c>
      <x:c r="C25" s="24" t="str">
        <x:v>https://www.esmadrid.com/bu%C3%B1uelos-viento-madrid-la-mallorquina</x:v>
      </x:c>
      <x:c r="D25" s="24" t="str">
        <x:v>既存資料</x:v>
      </x:c>
      <x:c r="E25" s="24" t="str">
        <x:v>2026-09-27</x:v>
      </x:c>
      <x:c r="F25" s="24" t="str">
        <x:v>前回調査から継承・2026-09-27</x:v>
      </x:c>
      <x:c r="G25" s="24" t="str">
        <x:v>種別：市観光局・製造者提供／確認日：2026-09-27
関連部分を閲覧。全文の翻訳・独立した全記述の検証ではない。</x:v>
      </x:c>
    </x:row>
    <x:row r="26" ht="92" customHeight="1">
      <x:c r="A26" s="22" t="str">
        <x:v>S22</x:v>
      </x:c>
      <x:c r="B26" s="22" t="str">
        <x:v>San Ginésのチュロスとチョコレート</x:v>
      </x:c>
      <x:c r="C26" s="22" t="str">
        <x:v>https://www.esmadrid.com/churros-con-chocolate-receta-san-gines-madrid</x:v>
      </x:c>
      <x:c r="D26" s="22" t="str">
        <x:v>既存資料</x:v>
      </x:c>
      <x:c r="E26" s="22" t="str">
        <x:v>2026-09-27</x:v>
      </x:c>
      <x:c r="F26" s="22" t="str">
        <x:v>前回調査から継承・2026-09-27</x:v>
      </x:c>
      <x:c r="G26" s="22" t="str">
        <x:v>種別：市観光局・製造者提供／確認日：2026-09-27
関連部分を閲覧。全文の翻訳・独立した全記述の検証ではない。</x:v>
      </x:c>
    </x:row>
    <x:row r="27" ht="92" customHeight="1">
      <x:c r="A27" s="24" t="str">
        <x:v>S23</x:v>
      </x:c>
      <x:c r="B27" s="24" t="str">
        <x:v>Tablafinaのイカサンド</x:v>
      </x:c>
      <x:c r="C27" s="24" t="str">
        <x:v>https://www.esmadrid.com/bocadillo-calamares-receta-tablafina-madrid</x:v>
      </x:c>
      <x:c r="D27" s="24" t="str">
        <x:v>既存資料</x:v>
      </x:c>
      <x:c r="E27" s="24" t="str">
        <x:v>2026-09-27</x:v>
      </x:c>
      <x:c r="F27" s="24" t="str">
        <x:v>前回調査から継承・2026-09-27</x:v>
      </x:c>
      <x:c r="G27" s="24" t="str">
        <x:v>種別：市観光局・料理人提供／確認日：2026-09-27
関連部分を閲覧。全文の翻訳・独立した全記述の検証ではない。</x:v>
      </x:c>
    </x:row>
    <x:row r="28" ht="92" customHeight="1">
      <x:c r="A28" s="22" t="str">
        <x:v>S24</x:v>
      </x:c>
      <x:c r="B28" s="22" t="str">
        <x:v>ペピート・デ・テルネラ</x:v>
      </x:c>
      <x:c r="C28" s="22" t="str">
        <x:v>https://blog.esmadrid.com/blog/es/2021/05/25/pepitos-de-ternera/</x:v>
      </x:c>
      <x:c r="D28" s="22" t="str">
        <x:v>既存資料</x:v>
      </x:c>
      <x:c r="E28" s="22" t="str">
        <x:v>2026-09-27</x:v>
      </x:c>
      <x:c r="F28" s="22" t="str">
        <x:v>前回調査から継承・2026-09-27</x:v>
      </x:c>
      <x:c r="G28" s="22" t="str">
        <x:v>種別：市観光局／確認日：2026-09-27
古い店紹介は現在営業の証明にしない。
関連部分を閲覧。全文の翻訳・独立した全記述の検証ではない。</x:v>
      </x:c>
    </x:row>
    <x:row r="29" ht="92" customHeight="1">
      <x:c r="A29" s="24" t="str">
        <x:v>S25</x:v>
      </x:c>
      <x:c r="B29" s="24" t="str">
        <x:v>Los Galayos メニューの入口</x:v>
      </x:c>
      <x:c r="C29" s="24" t="str">
        <x:v>https://www.losgalayos.net/nuestro-menu</x:v>
      </x:c>
      <x:c r="D29" s="24" t="str">
        <x:v>既存資料</x:v>
      </x:c>
      <x:c r="E29" s="24" t="str">
        <x:v>2026-09-27</x:v>
      </x:c>
      <x:c r="F29" s="24" t="str">
        <x:v>前回調査から継承・2026-09-27</x:v>
      </x:c>
      <x:c r="G29" s="24" t="str">
        <x:v>種別：店舗公式／確認日：2026-09-27
樽出しベルモット・Mahouの扱いを確認。
関連部分を閲覧。全文の翻訳・独立した全記述の検証ではない。</x:v>
      </x:c>
    </x:row>
    <x:row r="30" ht="92" customHeight="1">
      <x:c r="A30" s="22" t="str">
        <x:v>S26</x:v>
      </x:c>
      <x:c r="B30" s="22" t="str">
        <x:v>マドリード州の認証食品</x:v>
      </x:c>
      <x:c r="C30" s="22" t="str">
        <x:v>https://www.comunidad.madrid/noticias/2026/03/03/comunidad-madrid-participa-13a-feria-internacional-aceite-oliva-productos-denominacion-origen-protegida</x:v>
      </x:c>
      <x:c r="D30" s="22" t="str">
        <x:v>既存資料</x:v>
      </x:c>
      <x:c r="E30" s="22" t="str">
        <x:v>2026-09-27</x:v>
      </x:c>
      <x:c r="F30" s="22" t="str">
        <x:v>前回調査から継承・2026-09-27</x:v>
      </x:c>
      <x:c r="G30" s="22" t="str">
        <x:v>種別：州政府／確認日：2026-09-27
オリーブ油、ワイン、牛肉、アニス、Campo Realオリーブ等の地域性。
検索結果の公的資料抜粋を確認。本文全体の精査は未了。</x:v>
      </x:c>
    </x:row>
    <x:row r="31" ht="92" customHeight="1">
      <x:c r="A31" s="24" t="str">
        <x:v>S27</x:v>
      </x:c>
      <x:c r="B31" s="24" t="str">
        <x:v>2025年12月の地元生産者市場案内</x:v>
      </x:c>
      <x:c r="C31" s="24" t="str">
        <x:v>https://www.comunidad.madrid/docs/assets/2025/11/21/nota_informativa_diciembre_2025.pdf</x:v>
      </x:c>
      <x:c r="D31" s="24" t="str">
        <x:v>既存資料</x:v>
      </x:c>
      <x:c r="E31" s="24" t="str">
        <x:v>2026-09-27</x:v>
      </x:c>
      <x:c r="F31" s="24" t="str">
        <x:v>前回調査から継承・2026-09-27</x:v>
      </x:c>
      <x:c r="G31" s="24" t="str">
        <x:v>種別：州政府／確認日：2026-09-27
過去の開催告知。現在の日程を示さない。地域食材・チーズ・蜂蜜の調査入口。
検索結果の公的資料抜粋を確認。本文全体の精査は未了。</x:v>
      </x:c>
    </x:row>
    <x:row r="32" ht="92" customHeight="1">
      <x:c r="A32" s="22" t="str">
        <x:v>S28</x:v>
      </x:c>
      <x:c r="B32" s="22" t="str">
        <x:v>Madrid 7 Estrellas 購物ガイド</x:v>
      </x:c>
      <x:c r="C32" s="22" t="str">
        <x:v>https://www.comunidad.madrid/docs/assets/2024/10/07/aa_ff_guia_madrid-7-estrellas_es_en.pdf</x:v>
      </x:c>
      <x:c r="D32" s="22" t="str">
        <x:v>既存資料</x:v>
      </x:c>
      <x:c r="E32" s="22" t="str">
        <x:v>2026-09-27</x:v>
      </x:c>
      <x:c r="F32" s="22" t="str">
        <x:v>前回調査から継承・2026-09-27</x:v>
      </x:c>
      <x:c r="G32" s="22" t="str">
        <x:v>種別：州政府／確認日：2026-09-27
検索抜粋でAranjuezのイチゴ・アスパラガスを確認。本文精査未了。
検索結果の公的資料抜粋を確認。本文全体の精査は未了。</x:v>
      </x:c>
    </x:row>
    <x:row r="33" ht="92" customHeight="1">
      <x:c r="A33" s="24" t="str">
        <x:v>S29</x:v>
      </x:c>
      <x:c r="B33" s="24" t="str">
        <x:v>サン・イシドロ祭 公式案内</x:v>
      </x:c>
      <x:c r="C33" s="24" t="str">
        <x:v>https://www.esmadrid.com/en/whats-on/sanisidro-madrid</x:v>
      </x:c>
      <x:c r="D33" s="24" t="str">
        <x:v>既存資料</x:v>
      </x:c>
      <x:c r="E33" s="24" t="str">
        <x:v>2026-09-27</x:v>
      </x:c>
      <x:c r="F33" s="24" t="str">
        <x:v>前回調査から継承・2026-09-27</x:v>
      </x:c>
      <x:c r="G33" s="24" t="str">
        <x:v>種別：市観光局／確認日：2026-09-27
自動更新ページ。季節習慣のみ採録し、2027日程は記事に転記しない。
関連部分を閲覧。全文の翻訳・独立した全記述の検証ではない。</x:v>
      </x:c>
    </x:row>
    <x:row r="34" ht="92" customHeight="1">
      <x:c r="A34" s="22" t="str">
        <x:v>S30</x:v>
      </x:c>
      <x:c r="B34" s="22" t="str">
        <x:v>Diego Cabreraのスミレのレモネード</x:v>
      </x:c>
      <x:c r="C34" s="22" t="str">
        <x:v>https://www.esmadrid.com/limonada-violetas-diego-cabrera-madrid</x:v>
      </x:c>
      <x:c r="D34" s="22" t="str">
        <x:v>既存資料</x:v>
      </x:c>
      <x:c r="E34" s="22" t="str">
        <x:v>2026-09-27</x:v>
      </x:c>
      <x:c r="F34" s="22" t="str">
        <x:v>前回調査から継承・2026-09-27</x:v>
      </x:c>
      <x:c r="G34" s="22" t="str">
        <x:v>種別：市観光局・作り手提供／確認日：2026-09-27
伝統のlimonadaと現代のvioletas版を混同しない。
関連部分を閲覧。全文の翻訳・独立した全記述の検証ではない。</x:v>
      </x:c>
    </x:row>
    <x:row r="35" ht="92" customHeight="1">
      <x:c r="A35" s="24" t="str">
        <x:v>S31</x:v>
      </x:c>
      <x:c r="B35" s="24" t="str">
        <x:v>Casa CamachoのYayoなど現地取材</x:v>
      </x:c>
      <x:c r="C35" s="24" t="str">
        <x:v>https://www.ft.com/content/399510a2-85ee-48a2-9827-73c23a3ab3d8</x:v>
      </x:c>
      <x:c r="D35" s="24" t="str">
        <x:v>既存資料</x:v>
      </x:c>
      <x:c r="E35" s="24" t="str">
        <x:v>2026-09-27</x:v>
      </x:c>
      <x:c r="F35" s="24" t="str">
        <x:v>前回調査から継承・2026-09-27</x:v>
      </x:c>
      <x:c r="G35" s="24" t="str">
        <x:v>種別：現地取材記事／確認日：2026-09-27
FTの取材。価格・営業状況は古い可能性。
取材記事の関連部分。店舗公式メニューによる再確認は未了。</x:v>
      </x:c>
    </x:row>
    <x:row r="36" ht="92" customHeight="1">
      <x:c r="A36" s="22" t="str">
        <x:v>S32</x:v>
      </x:c>
      <x:c r="B36" s="22" t="str">
        <x:v>伝統菓子（市公式・ドイツ語）</x:v>
      </x:c>
      <x:c r="C36" s="22" t="str">
        <x:v>https://www.esmadrid.com/de/traditionelle-konditorei-madrid</x:v>
      </x:c>
      <x:c r="D36" s="22" t="str">
        <x:v>既存資料</x:v>
      </x:c>
      <x:c r="E36" s="22" t="str">
        <x:v>2026-09-27</x:v>
      </x:c>
      <x:c r="F36" s="22" t="str">
        <x:v>前回調査から継承・2026-09-27</x:v>
      </x:c>
      <x:c r="G36" s="22" t="str">
        <x:v>種別：市観光局／確認日：2026-09-27
Chatitas、Morataのパルメリータ等。Spanish版と同一出典系統。
関連部分を閲覧。全文の翻訳・独立した全記述の検証ではない。</x:v>
      </x:c>
    </x:row>
    <x:row r="37" ht="92" customHeight="1">
      <x:c r="A37" s="24" t="str">
        <x:v>S33</x:v>
      </x:c>
      <x:c r="B37" s="24" t="str">
        <x:v>Los Galayos 公式メニュー PDF</x:v>
      </x:c>
      <x:c r="C37" s="24" t="str">
        <x:v>https://www.losgalayos.net/documentos/carta_es-en.pdf</x:v>
      </x:c>
      <x:c r="D37" s="24" t="str">
        <x:v>既存資料</x:v>
      </x:c>
      <x:c r="E37" s="24" t="str">
        <x:v>2026-09-27</x:v>
      </x:c>
      <x:c r="F37" s="24" t="str">
        <x:v>前回調査から継承・2026-09-27</x:v>
      </x:c>
      <x:c r="G37" s="24" t="str">
        <x:v>種別：店舗公式PDF／確認日：2026-09-27
pp.4–5（PDF表示上）を画像でも確認。コシード25.50€、仔豚31€、仔羊肩36.50€。
PDF該当ページのテキストとスクリーンショットを確認。</x:v>
      </x:c>
    </x:row>
    <x:row r="38" ht="92" customHeight="1">
      <x:c r="A38" s="22" t="str">
        <x:v>S34</x:v>
      </x:c>
      <x:c r="B38" s="22" t="str">
        <x:v>Quesos Campo Real 製造者公式</x:v>
      </x:c>
      <x:c r="C38" s="22" t="str">
        <x:v>https://quesoscamporeal.com/</x:v>
      </x:c>
      <x:c r="D38" s="22" t="str">
        <x:v>既存資料</x:v>
      </x:c>
      <x:c r="E38" s="22" t="str">
        <x:v>2026-09-27</x:v>
      </x:c>
      <x:c r="F38" s="22" t="str">
        <x:v>前回調査から継承・2026-09-27</x:v>
      </x:c>
      <x:c r="G38" s="22" t="str">
        <x:v>種別：製造者／確認日：2026-09-27
マドリード州Campo Real所在。羊乳100%と混乳製品を区別。
関連部分を閲覧。全文の翻訳・独立した全記述の検証ではない。</x:v>
      </x:c>
    </x:row>
    <x:row r="39" ht="92" customHeight="1">
      <x:c r="A39" s="24" t="str">
        <x:v>S35</x:v>
      </x:c>
      <x:c r="B39" s="24" t="str">
        <x:v>レチェ・メレンガーダ：Miriam Garcíaのレシピ</x:v>
      </x:c>
      <x:c r="C39" s="24" t="str">
        <x:v>https://invitadoinvierno.com/helado-de-leche-merengada/</x:v>
      </x:c>
      <x:c r="D39" s="24" t="str">
        <x:v>既存資料</x:v>
      </x:c>
      <x:c r="E39" s="24" t="str">
        <x:v>2026-09-27</x:v>
      </x:c>
      <x:c r="F39" s="24" t="str">
        <x:v>前回調査から継承・2026-09-27</x:v>
      </x:c>
      <x:c r="G39" s="24" t="str">
        <x:v>種別：料理人・自作レシピ／確認日：2026-09-27
牛乳、レモン皮、シナモン、卵白。店の現行販売確認ではない。食品安全に関する古いコメントは採用しない。
関連部分を閲覧。全文の翻訳・独立した全記述の検証ではない。</x:v>
      </x:c>
    </x:row>
    <x:row r="40" ht="92" customHeight="1">
      <x:c r="A40" s="22" t="str">
        <x:v>S36</x:v>
      </x:c>
      <x:c r="B40" s="22" t="str">
        <x:v>コストラーダ・デ・アルカラ：Encarnitaのレシピ</x:v>
      </x:c>
      <x:c r="C40" s="22" t="str">
        <x:v>https://elparaisodelosgolosos.blogspot.com/2023/07/costrada-de-alcala-de-henares.html</x:v>
      </x:c>
      <x:c r="D40" s="22" t="str">
        <x:v>既存資料</x:v>
      </x:c>
      <x:c r="E40" s="22" t="str">
        <x:v>2026-09-27</x:v>
      </x:c>
      <x:c r="F40" s="22" t="str">
        <x:v>前回調査から継承・2026-09-27</x:v>
      </x:c>
      <x:c r="G40" s="22" t="str">
        <x:v>種別：自作レシピ／確認日：2026-09-27
2023-07-09。パイ・カスタード・メレンゲの構成。歴史の一次史料ではない。
関連部分を閲覧。全文の翻訳・独立した全記述の検証ではない。</x:v>
      </x:c>
    </x:row>
    <x:row r="41" ht="92" customHeight="1">
      <x:c r="A41" s="24" t="str">
        <x:v>S37</x:v>
      </x:c>
      <x:c r="B41" s="24" t="str">
        <x:v>Chatitas 製造販売元</x:v>
      </x:c>
      <x:c r="C41" s="24" t="str">
        <x:v>https://chatitas.es/</x:v>
      </x:c>
      <x:c r="D41" s="24" t="str">
        <x:v>既存資料</x:v>
      </x:c>
      <x:c r="E41" s="24" t="str">
        <x:v>2026-09-27</x:v>
      </x:c>
      <x:c r="F41" s="24" t="str">
        <x:v>前回調査から継承・2026-09-27</x:v>
      </x:c>
      <x:c r="G41" s="24" t="str">
        <x:v>種別：製造販売元／確認日：2026-09-27
ブランドの存在・連絡先の確認用。中身の説明は市観光局も参照。
関連部分を閲覧。全文の翻訳・独立した全記述の検証ではない。</x:v>
      </x:c>
    </x:row>
    <x:row r="42" ht="92" customHeight="1">
      <x:c r="A42" s="22" t="str">
        <x:v>S38</x:v>
      </x:c>
      <x:c r="B42" s="22" t="str">
        <x:v>La Palmerita de Morata 製造販売元</x:v>
      </x:c>
      <x:c r="C42" s="22" t="str">
        <x:v>https://lapalmeritademorata.es/</x:v>
      </x:c>
      <x:c r="D42" s="22" t="str">
        <x:v>既存資料</x:v>
      </x:c>
      <x:c r="E42" s="22" t="str">
        <x:v>2026-09-27</x:v>
      </x:c>
      <x:c r="F42" s="22" t="str">
        <x:v>前回調査から継承・2026-09-27</x:v>
      </x:c>
      <x:c r="G42" s="22" t="str">
        <x:v>種別：製造販売元／確認日：2026-09-27
専門販売元の存在を確認。市内販売先は市観光局資料と照合。
関連部分を閲覧。全文の翻訳・独立した全記述の検証ではない。</x:v>
      </x:c>
    </x:row>
    <x:row r="43" ht="92" customHeight="1">
      <x:c r="A43" s="24" t="str">
        <x:v>S39</x:v>
      </x:c>
      <x:c r="B43" s="24" t="str">
        <x:v>La Mallorquina 公式トップ</x:v>
      </x:c>
      <x:c r="C43" s="24" t="str">
        <x:v>https://pastelerialamallorquina.es/</x:v>
      </x:c>
      <x:c r="D43" s="24" t="str">
        <x:v>既存資料</x:v>
      </x:c>
      <x:c r="E43" s="24" t="str">
        <x:v>2026-09-27</x:v>
      </x:c>
      <x:c r="F43" s="24" t="str">
        <x:v>前回調査から継承・2026-09-27</x:v>
      </x:c>
      <x:c r="G43" s="24" t="str">
        <x:v>種別：製造販売元／確認日：2026-09-27
スミレ飴の販売など。商品・通販価格と店頭価格を混同しない。
関連部分を閲覧。全文の翻訳・独立した全記述の検証ではない。</x:v>
      </x:c>
    </x:row>
    <x:row r="44" ht="92" customHeight="1">
      <x:c r="A44" s="22" t="str">
        <x:v>S40</x:v>
      </x:c>
      <x:c r="B44" s="22" t="str">
        <x:v>マドリードの食文化・市公式</x:v>
      </x:c>
      <x:c r="C44" s="22" t="str">
        <x:v>https://www.esmadrid.com/gastronomia-madrid</x:v>
      </x:c>
      <x:c r="D44" s="22" t="str">
        <x:v>既存資料</x:v>
      </x:c>
      <x:c r="E44" s="22" t="str">
        <x:v>2026-09-27</x:v>
      </x:c>
      <x:c r="F44" s="22" t="str">
        <x:v>前回調査から継承・2026-09-27</x:v>
      </x:c>
      <x:c r="G44" s="22" t="str">
        <x:v>郷土食と他地方料理、無料の添え物と有料の注文料理の区別。</x:v>
      </x:c>
    </x:row>
    <x:row r="45" ht="92" customHeight="1">
      <x:c r="A45" s="24" t="str">
        <x:v>S41</x:v>
      </x:c>
      <x:c r="B45" s="24" t="str">
        <x:v>La Bola・店舗公式</x:v>
      </x:c>
      <x:c r="C45" s="24" t="str">
        <x:v>https://labola.es/en</x:v>
      </x:c>
      <x:c r="D45" s="24" t="str">
        <x:v>既存資料</x:v>
      </x:c>
      <x:c r="E45" s="24" t="str">
        <x:v>2026-09-28</x:v>
      </x:c>
      <x:c r="F45" s="24" t="str">
        <x:v>今回も該当箇所を確認（前回から継承）</x:v>
      </x:c>
      <x:c r="G45" s="24" t="str">
        <x:v>個別の土鍋、炭火、2段階での提供を確認。全店共通の方式とはしない。</x:v>
      </x:c>
    </x:row>
    <x:row r="46" ht="92" customHeight="1">
      <x:c r="A46" s="22" t="str">
        <x:v>S42</x:v>
      </x:c>
      <x:c r="B46" s="22" t="str">
        <x:v>王宮と王室厨房・市公式</x:v>
      </x:c>
      <x:c r="C46" s="22" t="str">
        <x:v>https://www.esmadrid.com/informacion-turistica/palacio-real</x:v>
      </x:c>
      <x:c r="D46" s="22" t="str">
        <x:v>既存資料</x:v>
      </x:c>
      <x:c r="E46" s="22" t="str">
        <x:v>2026-09-27</x:v>
      </x:c>
      <x:c r="F46" s="22" t="str">
        <x:v>前回調査から継承・2026-09-27</x:v>
      </x:c>
      <x:c r="G46" s="22" t="str">
        <x:v>Real Cocinaは王宮の通常見学に含まれず別料金。式典等による閉鎖は公式予約で再確認。</x:v>
      </x:c>
    </x:row>
    <x:row r="47" ht="92" customHeight="1">
      <x:c r="A47" s="24" t="str">
        <x:v>S43</x:v>
      </x:c>
      <x:c r="B47" s="24" t="str">
        <x:v>王室コレクション・ギャラリー</x:v>
      </x:c>
      <x:c r="C47" s="24" t="str">
        <x:v>https://www.esmadrid.com/informacion-turistica/galeria-colecciones-reales</x:v>
      </x:c>
      <x:c r="D47" s="24" t="str">
        <x:v>既存資料</x:v>
      </x:c>
      <x:c r="E47" s="24" t="str">
        <x:v>2026-09-27</x:v>
      </x:c>
      <x:c r="F47" s="24" t="str">
        <x:v>前回調査から継承・2026-09-27</x:v>
      </x:c>
      <x:c r="G47" s="24" t="str">
        <x:v>王宮隣接の美術館。建設時に発見された古い城壁も紹介。</x:v>
      </x:c>
    </x:row>
    <x:row r="48" ht="92" customHeight="1">
      <x:c r="A48" s="22" t="str">
        <x:v>S44</x:v>
      </x:c>
      <x:c r="B48" s="22" t="str">
        <x:v>レティーロ公園・市公式</x:v>
      </x:c>
      <x:c r="C48" s="22" t="str">
        <x:v>https://www.esmadrid.com/informacion-turistica/parque-del-retiro</x:v>
      </x:c>
      <x:c r="D48" s="22" t="str">
        <x:v>既存資料</x:v>
      </x:c>
      <x:c r="E48" s="22" t="str">
        <x:v>2026-09-27</x:v>
      </x:c>
      <x:c r="F48" s="22" t="str">
        <x:v>前回調査から継承・2026-09-27</x:v>
      </x:c>
      <x:c r="G48" s="22" t="str">
        <x:v>公園の見どころと悪天候時の閉鎖案内。建物の開館と公園の開園は区別。</x:v>
      </x:c>
    </x:row>
    <x:row r="49" ht="92" customHeight="1">
      <x:c r="A49" s="24" t="str">
        <x:v>S45</x:v>
      </x:c>
      <x:c r="B49" s="24" t="str">
        <x:v>クリスタル宮殿・市公式</x:v>
      </x:c>
      <x:c r="C49" s="24" t="str">
        <x:v>https://www.esmadrid.com/informacion-turistica/palacio-de-cristal</x:v>
      </x:c>
      <x:c r="D49" s="24" t="str">
        <x:v>既存資料</x:v>
      </x:c>
      <x:c r="E49" s="24" t="str">
        <x:v>2026-09-28</x:v>
      </x:c>
      <x:c r="F49" s="24" t="str">
        <x:v>今回も公式本文を再確認</x:v>
      </x:c>
      <x:c r="G49" s="24" t="str">
        <x:v>2027年まで工事で一時閉館と明記。1887年の温室由来。建物を覆うアート作品は別案内。</x:v>
      </x:c>
    </x:row>
    <x:row r="50" ht="92" customHeight="1">
      <x:c r="A50" s="22" t="str">
        <x:v>S46</x:v>
      </x:c>
      <x:c r="B50" s="22" t="str">
        <x:v>サン・ミゲル市場・公式再開報告</x:v>
      </x:c>
      <x:c r="C50" s="22" t="str">
        <x:v>https://mercadodesanmiguel.es/reapertura-del-mercado-de-san-miguel-tras-las-obras-de-conservacion/</x:v>
      </x:c>
      <x:c r="D50" s="22" t="str">
        <x:v>既存資料</x:v>
      </x:c>
      <x:c r="E50" s="22" t="str">
        <x:v>2026-09-28</x:v>
      </x:c>
      <x:c r="F50" s="22" t="str">
        <x:v>今回も公式本文を再確認</x:v>
      </x:c>
      <x:c r="G50" s="22" t="str">
        <x:v>2026年3月13日の記事で、同年2月26日の再開を確認。年初の休業報道だけで現在を判断しない。</x:v>
      </x:c>
    </x:row>
    <x:row r="51" ht="92" customHeight="1">
      <x:c r="A51" s="24" t="str">
        <x:v>S47</x:v>
      </x:c>
      <x:c r="B51" s="24" t="str">
        <x:v>食の市場・市公式</x:v>
      </x:c>
      <x:c r="C51" s="24" t="str">
        <x:v>https://www.esmadrid.com/mercados-gastronomia-madrid</x:v>
      </x:c>
      <x:c r="D51" s="24" t="str">
        <x:v>既存資料</x:v>
      </x:c>
      <x:c r="E51" s="24" t="str">
        <x:v>2026-09-27</x:v>
      </x:c>
      <x:c r="F51" s="24" t="str">
        <x:v>前回調査から継承・2026-09-27</x:v>
      </x:c>
      <x:c r="G51" s="24" t="str">
        <x:v>San Miguel / San Antón / Antón Martín / La Paz等の特徴。各店の営業・料理は別確認。</x:v>
      </x:c>
    </x:row>
    <x:row r="52" ht="92" customHeight="1">
      <x:c r="A52" s="22" t="str">
        <x:v>S48</x:v>
      </x:c>
      <x:c r="B52" s="22" t="str">
        <x:v>マヨール広場・市公式</x:v>
      </x:c>
      <x:c r="C52" s="22" t="str">
        <x:v>https://www.esmadrid.com/informacion-turistica/plaza-mayor-madrid</x:v>
      </x:c>
      <x:c r="D52" s="22" t="str">
        <x:v>既存資料</x:v>
      </x:c>
      <x:c r="E52" s="22" t="str">
        <x:v>2026-09-27</x:v>
      </x:c>
      <x:c r="F52" s="22" t="str">
        <x:v>前回調査から継承・2026-09-27</x:v>
      </x:c>
      <x:c r="G52" s="22" t="str">
        <x:v>回廊を持つ旧市街の広場。イカサンドとの組合せは編集提案。</x:v>
      </x:c>
    </x:row>
    <x:row r="53" ht="92" customHeight="1">
      <x:c r="A53" s="24" t="str">
        <x:v>S49</x:v>
      </x:c>
      <x:c r="B53" s="24" t="str">
        <x:v>プラド美術館・市公式</x:v>
      </x:c>
      <x:c r="C53" s="24" t="str">
        <x:v>https://www.esmadrid.com/informacion-turistica/museo-del-prado</x:v>
      </x:c>
      <x:c r="D53" s="24" t="str">
        <x:v>既存資料</x:v>
      </x:c>
      <x:c r="E53" s="24" t="str">
        <x:v>2026-09-27</x:v>
      </x:c>
      <x:c r="F53" s="24" t="str">
        <x:v>前回調査から継承・2026-09-27</x:v>
      </x:c>
      <x:c r="G53" s="24" t="str">
        <x:v>美術館の見どころ。作品画像の転載権とは別の資料。</x:v>
      </x:c>
    </x:row>
    <x:row r="54" ht="92" customHeight="1">
      <x:c r="A54" s="22" t="str">
        <x:v>S50</x:v>
      </x:c>
      <x:c r="B54" s="22" t="str">
        <x:v>ソフィア王妃芸術センター・市公式</x:v>
      </x:c>
      <x:c r="C54" s="22" t="str">
        <x:v>https://www.esmadrid.com/informacion-turistica/museo-reina-sofia</x:v>
      </x:c>
      <x:c r="D54" s="22" t="str">
        <x:v>既存資料</x:v>
      </x:c>
      <x:c r="E54" s="22" t="str">
        <x:v>2026-09-27</x:v>
      </x:c>
      <x:c r="F54" s="22" t="str">
        <x:v>前回調査から継承・2026-09-27</x:v>
      </x:c>
      <x:c r="G54" s="22" t="str">
        <x:v>近現代美術の見どころ。Guernicaの画像が自由利用できることを意味しない。</x:v>
      </x:c>
    </x:row>
    <x:row r="55" ht="92" customHeight="1">
      <x:c r="A55" s="24" t="str">
        <x:v>S51</x:v>
      </x:c>
      <x:c r="B55" s="24" t="str">
        <x:v>ティッセン美術館・市公式</x:v>
      </x:c>
      <x:c r="C55" s="24" t="str">
        <x:v>https://www.esmadrid.com/informacion-turistica/museo-nacional-thyssen-bornemisza</x:v>
      </x:c>
      <x:c r="D55" s="24" t="str">
        <x:v>既存資料</x:v>
      </x:c>
      <x:c r="E55" s="24" t="str">
        <x:v>2026-09-27</x:v>
      </x:c>
      <x:c r="F55" s="24" t="str">
        <x:v>前回調査から継承・2026-09-27</x:v>
      </x:c>
      <x:c r="G55" s="24" t="str">
        <x:v>美術館の見どころ。個別の展覧会・予約枠は別確認。</x:v>
      </x:c>
    </x:row>
    <x:row r="56" ht="92" customHeight="1">
      <x:c r="A56" s="22" t="str">
        <x:v>S52</x:v>
      </x:c>
      <x:c r="B56" s="22" t="str">
        <x:v>ラストロ散策・市公式</x:v>
      </x:c>
      <x:c r="C56" s="22" t="str">
        <x:v>https://www.esmadrid.com/que-hacer-en-el-rastro</x:v>
      </x:c>
      <x:c r="D56" s="22" t="str">
        <x:v>既存資料</x:v>
      </x:c>
      <x:c r="E56" s="22" t="str">
        <x:v>2026-09-27</x:v>
      </x:c>
      <x:c r="F56" s="22" t="str">
        <x:v>前回調査から継承・2026-09-27</x:v>
      </x:c>
      <x:c r="G56" s="22" t="str">
        <x:v>日曜・祝日の屋外市。周辺の常設店とは営業日が異なる。</x:v>
      </x:c>
    </x:row>
    <x:row r="57" ht="92" customHeight="1">
      <x:c r="A57" s="24" t="str">
        <x:v>S53</x:v>
      </x:c>
      <x:c r="B57" s="24" t="str">
        <x:v>サン・アントニオ・デ・ラ・フロリダ礼拝堂・市公式</x:v>
      </x:c>
      <x:c r="C57" s="24" t="str">
        <x:v>https://www.madrid.es/portales/munimadrid/es/ErmitaDeSanAntonioDeLaFlorida/Ermita-de-San-Antonio-de-la-Florida/?vgnextchannel=33df541adec0b410VgnVCM1000000b205a0aRCRD&amp;vgnextfmt=default&amp;vgnextoid=797368822e3ab010VgnVCM100000d90ca8c0RCRD</x:v>
      </x:c>
      <x:c r="D57" s="24" t="str">
        <x:v>既存資料</x:v>
      </x:c>
      <x:c r="E57" s="24" t="str">
        <x:v>2026-09-27</x:v>
      </x:c>
      <x:c r="F57" s="24" t="str">
        <x:v>前回調査から継承・2026-09-27</x:v>
      </x:c>
      <x:c r="G57" s="24" t="str">
        <x:v>ゴヤのフレスコ画、保存工事後の6月12日再開案内を確認。本文に年を明記しない案内のため、日付は年を補って断定しない。</x:v>
      </x:c>
    </x:row>
    <x:row r="58" ht="92" customHeight="1">
      <x:c r="A58" s="22" t="str">
        <x:v>S54</x:v>
      </x:c>
      <x:c r="B58" s="22" t="str">
        <x:v>デボー神殿・市公式</x:v>
      </x:c>
      <x:c r="C58" s="22" t="str">
        <x:v>https://www.esmadrid.com/informacion-turistica/templo-de-debod</x:v>
      </x:c>
      <x:c r="D58" s="22" t="str">
        <x:v>既存資料</x:v>
      </x:c>
      <x:c r="E58" s="22" t="str">
        <x:v>2026-09-27</x:v>
      </x:c>
      <x:c r="F58" s="22" t="str">
        <x:v>前回調査から継承・2026-09-27</x:v>
      </x:c>
      <x:c r="G58" s="22" t="str">
        <x:v>エジプトから移された古代神殿。1972年に現地で一般公開。水面の状態は古写真から現況を推定しない。</x:v>
      </x:c>
    </x:row>
    <x:row r="59" ht="92" customHeight="1">
      <x:c r="A59" s="24" t="str">
        <x:v>S55</x:v>
      </x:c>
      <x:c r="B59" s="24" t="str">
        <x:v>マドリード・リオ・市公式</x:v>
      </x:c>
      <x:c r="C59" s="24" t="str">
        <x:v>https://www.esmadrid.com/informacion-turistica/madrid-rio</x:v>
      </x:c>
      <x:c r="D59" s="24" t="str">
        <x:v>既存資料</x:v>
      </x:c>
      <x:c r="E59" s="24" t="str">
        <x:v>2026-09-27</x:v>
      </x:c>
      <x:c r="F59" s="24" t="str">
        <x:v>前回調査から継承・2026-09-27</x:v>
      </x:c>
      <x:c r="G59" s="24" t="str">
        <x:v>川沿いの公園・文化施設の位置づけ。散策の所要時間は編集上の目安。</x:v>
      </x:c>
    </x:row>
    <x:row r="60" ht="92" customHeight="1">
      <x:c r="A60" s="22" t="str">
        <x:v>S56</x:v>
      </x:c>
      <x:c r="B60" s="22" t="str">
        <x:v>アルカラ・デ・エナレス・市公式</x:v>
      </x:c>
      <x:c r="C60" s="22" t="str">
        <x:v>https://www.esmadrid.com/en/trips-alcala-henares</x:v>
      </x:c>
      <x:c r="D60" s="22" t="str">
        <x:v>既存資料</x:v>
      </x:c>
      <x:c r="E60" s="22" t="str">
        <x:v>2026-09-27</x:v>
      </x:c>
      <x:c r="F60" s="22" t="str">
        <x:v>前回調査から継承・2026-09-27</x:v>
      </x:c>
      <x:c r="G60" s="22" t="str">
        <x:v>大学、セルバンテス関連の街歩き、コストラーダ、ロスキージャ、修道院のアーモンド菓子。起源を特定店に断定しない。</x:v>
      </x:c>
    </x:row>
    <x:row r="61" ht="92" customHeight="1">
      <x:c r="A61" s="24" t="str">
        <x:v>S57</x:v>
      </x:c>
      <x:c r="B61" s="24" t="str">
        <x:v>アランフエス・市公式</x:v>
      </x:c>
      <x:c r="C61" s="24" t="str">
        <x:v>https://www.esmadrid.com/en/trips-aranjuez</x:v>
      </x:c>
      <x:c r="D61" s="24" t="str">
        <x:v>既存資料</x:v>
      </x:c>
      <x:c r="E61" s="24" t="str">
        <x:v>2026-09-27</x:v>
      </x:c>
      <x:c r="F61" s="24" t="str">
        <x:v>前回調査から継承・2026-09-27</x:v>
      </x:c>
      <x:c r="G61" s="24" t="str">
        <x:v>宮殿と庭園、地元のイチゴ・アスパラガス、菜園と飲食文化。具体的な当日入荷は未確認。</x:v>
      </x:c>
    </x:row>
    <x:row r="62" ht="92" customHeight="1">
      <x:c r="A62" s="22" t="str">
        <x:v>S58</x:v>
      </x:c>
      <x:c r="B62" s="22" t="str">
        <x:v>チンチョン・市公式</x:v>
      </x:c>
      <x:c r="C62" s="22" t="str">
        <x:v>https://www.esmadrid.com/en/chinchon</x:v>
      </x:c>
      <x:c r="D62" s="22" t="str">
        <x:v>既存資料</x:v>
      </x:c>
      <x:c r="E62" s="22" t="str">
        <x:v>2026-09-27</x:v>
      </x:c>
      <x:c r="F62" s="22" t="str">
        <x:v>前回調査から継承・2026-09-27</x:v>
      </x:c>
      <x:c r="G62" s="22" t="str">
        <x:v>中央広場、アニス、ニンニク、焼き肉料理。城内は一般見学を案内しない。</x:v>
      </x:c>
    </x:row>
    <x:row r="63" ht="92" customHeight="1">
      <x:c r="A63" s="24" t="str">
        <x:v>S59</x:v>
      </x:c>
      <x:c r="B63" s="24" t="str">
        <x:v>エル・エスコリアル・市公式</x:v>
      </x:c>
      <x:c r="C63" s="24" t="str">
        <x:v>https://www.esmadrid.com/en/trips-el-escorial</x:v>
      </x:c>
      <x:c r="D63" s="24" t="str">
        <x:v>既存資料</x:v>
      </x:c>
      <x:c r="E63" s="24" t="str">
        <x:v>2026-09-27</x:v>
      </x:c>
      <x:c r="F63" s="24" t="str">
        <x:v>前回調査から継承・2026-09-27</x:v>
      </x:c>
      <x:c r="G63" s="24" t="str">
        <x:v>修道院・宮殿の複合施設と周辺。飲食の組合せは提案であり、食事付き入場ではない。</x:v>
      </x:c>
    </x:row>
    <x:row r="64" ht="92" customHeight="1">
      <x:c r="A64" s="22" t="str">
        <x:v>S60</x:v>
      </x:c>
      <x:c r="B64" s="22" t="str">
        <x:v>主要名所・市公式</x:v>
      </x:c>
      <x:c r="C64" s="22" t="str">
        <x:v>https://www.esmadrid.com/top-10-madrid</x:v>
      </x:c>
      <x:c r="D64" s="22" t="str">
        <x:v>既存資料</x:v>
      </x:c>
      <x:c r="E64" s="22" t="str">
        <x:v>2026-09-27</x:v>
      </x:c>
      <x:c r="F64" s="22" t="str">
        <x:v>前回調査から継承・2026-09-27</x:v>
      </x:c>
      <x:c r="G64" s="22" t="str">
        <x:v>Gran Vía等の位置づけ。総合ページの短い開館説明より施設個別ページを優先。</x:v>
      </x:c>
    </x:row>
    <x:row r="65" ht="92" customHeight="1">
      <x:c r="A65" s="24" t="str">
        <x:v>S61</x:v>
      </x:c>
      <x:c r="B65" s="24" t="str">
        <x:v>アルカラ門・市公式</x:v>
      </x:c>
      <x:c r="C65" s="24" t="str">
        <x:v>https://www.esmadrid.com/informacion-turistica/puerta-de-alcala</x:v>
      </x:c>
      <x:c r="D65" s="24" t="str">
        <x:v>既存資料</x:v>
      </x:c>
      <x:c r="E65" s="24" t="str">
        <x:v>2026-09-27</x:v>
      </x:c>
      <x:c r="F65" s="24" t="str">
        <x:v>前回調査から継承・2026-09-27</x:v>
      </x:c>
      <x:c r="G65" s="24" t="str">
        <x:v>レティーロ近くの歴史的な門。街歩きの接続点。</x:v>
      </x:c>
    </x:row>
    <x:row r="66" ht="92" customHeight="1">
      <x:c r="A66" s="22" t="str">
        <x:v>S62</x:v>
      </x:c>
      <x:c r="B66" s="22" t="str">
        <x:v>プエルタ・デル・ソル・市公式</x:v>
      </x:c>
      <x:c r="C66" s="22" t="str">
        <x:v>https://www.esmadrid.com/informacion-turistica/puerta-del-sol</x:v>
      </x:c>
      <x:c r="D66" s="22" t="str">
        <x:v>既存資料</x:v>
      </x:c>
      <x:c r="E66" s="22" t="str">
        <x:v>2026-09-27</x:v>
      </x:c>
      <x:c r="F66" s="22" t="str">
        <x:v>前回調査から継承・2026-09-27</x:v>
      </x:c>
      <x:c r="G66" s="22" t="str">
        <x:v>中心広場と象徴的なモニュメント。店舗の営業時間は各店舗情報を優先。</x:v>
      </x:c>
    </x:row>
    <x:row r="67" ht="92" customHeight="1">
      <x:c r="A67" s="24" t="str">
        <x:v>S63</x:v>
      </x:c>
      <x:c r="B67" s="24" t="str">
        <x:v>CentroCentroと展望台・市公式</x:v>
      </x:c>
      <x:c r="C67" s="24" t="str">
        <x:v>https://www.esmadrid.com/informacion-turistica/centrocentro</x:v>
      </x:c>
      <x:c r="D67" s="24" t="str">
        <x:v>既存資料</x:v>
      </x:c>
      <x:c r="E67" s="24" t="str">
        <x:v>2026-09-27</x:v>
      </x:c>
      <x:c r="F67" s="24" t="str">
        <x:v>前回調査から継承・2026-09-27</x:v>
      </x:c>
      <x:c r="G67" s="24" t="str">
        <x:v>シベーレス宮殿の8階展望台と6階の飲食施設を区別。建物入場無料と展望台料金を混同しない。</x:v>
      </x:c>
    </x:row>
    <x:row r="68" ht="92" customHeight="1">
      <x:c r="A68" s="22" t="str">
        <x:v>S64</x:v>
      </x:c>
      <x:c r="B68" s="22" t="str">
        <x:v>シベーレス噴水・市公式</x:v>
      </x:c>
      <x:c r="C68" s="22" t="str">
        <x:v>https://www.esmadrid.com/informacion-turistica/fuente-de-la-cibeles</x:v>
      </x:c>
      <x:c r="D68" s="22" t="str">
        <x:v>既存資料</x:v>
      </x:c>
      <x:c r="E68" s="22" t="str">
        <x:v>2026-09-27</x:v>
      </x:c>
      <x:c r="F68" s="22" t="str">
        <x:v>前回調査から継承・2026-09-27</x:v>
      </x:c>
      <x:c r="G68" s="22" t="str">
        <x:v>6月末から約5か月の修復用足場を案内。現地で遮蔽物なく見えると保証しない。</x:v>
      </x:c>
    </x:row>
    <x:row r="69" ht="92" customHeight="1">
      <x:c r="A69" s="24" t="str">
        <x:v>S65</x:v>
      </x:c>
      <x:c r="B69" s="24" t="str">
        <x:v>ラ・ラティーナ地区・市公式</x:v>
      </x:c>
      <x:c r="C69" s="24" t="str">
        <x:v>https://www.esmadrid.com/barrios-de-madrid/latina</x:v>
      </x:c>
      <x:c r="D69" s="24" t="str">
        <x:v>既存資料</x:v>
      </x:c>
      <x:c r="E69" s="24" t="str">
        <x:v>2026-09-27</x:v>
      </x:c>
      <x:c r="F69" s="24" t="str">
        <x:v>前回調査から継承・2026-09-27</x:v>
      </x:c>
      <x:c r="G69" s="24" t="str">
        <x:v>Cava Bajaや広場、バル、Rastroとの関係。</x:v>
      </x:c>
    </x:row>
    <x:row r="70" ht="92" customHeight="1">
      <x:c r="A70" s="22" t="str">
        <x:v>S66</x:v>
      </x:c>
      <x:c r="B70" s="22" t="str">
        <x:v>ラス・レトラス地区・市公式</x:v>
      </x:c>
      <x:c r="C70" s="22" t="str">
        <x:v>https://www.esmadrid.com/barrios-de-madrid/barrio-letras</x:v>
      </x:c>
      <x:c r="D70" s="22" t="str">
        <x:v>既存資料</x:v>
      </x:c>
      <x:c r="E70" s="22" t="str">
        <x:v>2026-09-27</x:v>
      </x:c>
      <x:c r="F70" s="22" t="str">
        <x:v>前回調査から継承・2026-09-27</x:v>
      </x:c>
      <x:c r="G70" s="22" t="str">
        <x:v>文学者ゆかりの地区。サンタ・アナ広場などの散策と食の接続。</x:v>
      </x:c>
    </x:row>
    <x:row r="71" ht="92" customHeight="1">
      <x:c r="A71" s="24" t="str">
        <x:v>S67</x:v>
      </x:c>
      <x:c r="B71" s="24" t="str">
        <x:v>カンポ・デル・モーロ庭園・市公式</x:v>
      </x:c>
      <x:c r="C71" s="24" t="str">
        <x:v>https://www.esmadrid.com/informacion-turistica/campo-del-moro</x:v>
      </x:c>
      <x:c r="D71" s="24" t="str">
        <x:v>既存資料</x:v>
      </x:c>
      <x:c r="E71" s="24" t="str">
        <x:v>2026-09-27</x:v>
      </x:c>
      <x:c r="F71" s="24" t="str">
        <x:v>前回調査から継承・2026-09-27</x:v>
      </x:c>
      <x:c r="G71" s="24" t="str">
        <x:v>王宮西側の庭園。高台の展望地点と庭園への入口を混同しない。</x:v>
      </x:c>
    </x:row>
    <x:row r="72" ht="92" customHeight="1">
      <x:c r="A72" s="22" t="str">
        <x:v>S68</x:v>
      </x:c>
      <x:c r="B72" s="22" t="str">
        <x:v>アルムデナ大聖堂・市公式</x:v>
      </x:c>
      <x:c r="C72" s="22" t="str">
        <x:v>https://www.esmadrid.com/informacion-turistica/catedral-de-la-almudena</x:v>
      </x:c>
      <x:c r="D72" s="22" t="str">
        <x:v>既存資料</x:v>
      </x:c>
      <x:c r="E72" s="22" t="str">
        <x:v>2026-09-27</x:v>
      </x:c>
      <x:c r="F72" s="22" t="str">
        <x:v>前回調査から継承・2026-09-27</x:v>
      </x:c>
      <x:c r="G72" s="22" t="str">
        <x:v>王宮の向かいの大聖堂。礼拝空間・博物館・地下聖堂は別確認。</x:v>
      </x:c>
    </x:row>
    <x:row r="73" ht="92" customHeight="1">
      <x:c r="A73" s="24" t="str">
        <x:v>S69</x:v>
      </x:c>
      <x:c r="B73" s="24" t="str">
        <x:v>サルディーナ・デ・チョコラテの2017年発表・市公式</x:v>
      </x:c>
      <x:c r="C73" s="24" t="str">
        <x:v>https://diario.madrid.es/blog/notas-de-prensa/madrid-ya-tiene-postre-oficial-para-el-carnaval/</x:v>
      </x:c>
      <x:c r="D73" s="24" t="str">
        <x:v>既存資料</x:v>
      </x:c>
      <x:c r="E73" s="24" t="str">
        <x:v>2026-09-27</x:v>
      </x:c>
      <x:c r="F73" s="24" t="str">
        <x:v>前回調査から継承・2026-09-27</x:v>
      </x:c>
      <x:c r="G73" s="24" t="str">
        <x:v>2017年2月24日のカーニバル菓子コンテストの発表。現在の取扱店を保証する資料ではない。</x:v>
      </x:c>
    </x:row>
    <x:row r="74" ht="92" customHeight="1">
      <x:c r="A74" s="22" t="str">
        <x:v>S70</x:v>
      </x:c>
      <x:c r="B74" s="22" t="str">
        <x:v>Casa Labra・市公式店舗案内</x:v>
      </x:c>
      <x:c r="C74" s="22" t="str">
        <x:v>https://www.esmadrid.com/restaurantes/casa-labra</x:v>
      </x:c>
      <x:c r="D74" s="22" t="str">
        <x:v>既存資料</x:v>
      </x:c>
      <x:c r="E74" s="22" t="str">
        <x:v>2026-09-27</x:v>
      </x:c>
      <x:c r="F74" s="22" t="str">
        <x:v>前回調査から継承・2026-09-27</x:v>
      </x:c>
      <x:c r="G74" s="22" t="str">
        <x:v>ソル近くのTetuán 12、タラの衣揚げとクロケッタ。</x:v>
      </x:c>
    </x:row>
    <x:row r="75" ht="92" customHeight="1">
      <x:c r="A75" s="24" t="str">
        <x:v>S71</x:v>
      </x:c>
      <x:c r="B75" s="24" t="str">
        <x:v>王宮・王室厨房 公式予約</x:v>
      </x:c>
      <x:c r="C75" s="24" t="str">
        <x:v>https://tickets.patrimonionacional.es/en/tickets/cocinas-palacio-real-de-madrid</x:v>
      </x:c>
      <x:c r="D75" s="24" t="str">
        <x:v>管理者公式</x:v>
      </x:c>
      <x:c r="E75" s="24" t="str">
        <x:v>2026-09-28</x:v>
      </x:c>
      <x:c r="F75" s="24" t="str">
        <x:v>今回・関連記述を確認</x:v>
      </x:c>
      <x:c r="G75" s="24" t="str">
        <x:v>厨房ガイド約45分。ネット購入のガイドはスペイン語。厨房のみ基本8ユーロ、王宮自由見学＋厨房基本24ユーロ。購入画面には0.77ユーロの予約料表示。選択時刻は厨房の開始時刻。個人撮影の許可は商用転載許可を意味しない。</x:v>
      </x:c>
    </x:row>
    <x:row r="76" ht="92" customHeight="1">
      <x:c r="A76" s="22" t="str">
        <x:v>S72</x:v>
      </x:c>
      <x:c r="B76" s="22" t="str">
        <x:v>Historia culinaria de Madrid</x:v>
      </x:c>
      <x:c r="C76" s="22" t="str">
        <x:v>https://www.esmadrid.com/sites/default/files/historia_culinaria_de_madrid.pdf</x:v>
      </x:c>
      <x:c r="D76" s="22" t="str">
        <x:v>市観光局・料理専門団体</x:v>
      </x:c>
      <x:c r="E76" s="22" t="str">
        <x:v>2026-09-28</x:v>
      </x:c>
      <x:c r="F76" s="22" t="str">
        <x:v>今回・関連記述を確認</x:v>
      </x:c>
      <x:c r="G76" s="22" t="str">
        <x:v>Academia Madrileña de Gastronomíaの料理史・レシピ。PDFページ10（冊子20–21頁）のペピトリアを画像で確認。卵黄・アーモンドによるソース、カスティーリャの系譜。起源の仮説は断定しない。</x:v>
      </x:c>
    </x:row>
    <x:row r="77" ht="92" customHeight="1">
      <x:c r="A77" s="24" t="str">
        <x:v>S73</x:v>
      </x:c>
      <x:c r="B77" s="24" t="str">
        <x:v>アルカラ市公式・食と菓子</x:v>
      </x:c>
      <x:c r="C77" s="24" t="str">
        <x:v>https://www.turismoalcala.es/gastronomia-restaurantes-alcala-de-henares/</x:v>
      </x:c>
      <x:c r="D77" s="24" t="str">
        <x:v>自治体公式</x:v>
      </x:c>
      <x:c r="E77" s="24" t="str">
        <x:v>2026-09-28</x:v>
      </x:c>
      <x:c r="F77" s="24" t="str">
        <x:v>今回・関連記述を確認</x:v>
      </x:c>
      <x:c r="G77" s="24" t="str">
        <x:v>コストラーダ、ロスキージャス、砂糖がけアーモンド等を地元の菓子として紹介。特定店の発明年や当日販売を証明する資料ではない。</x:v>
      </x:c>
    </x:row>
    <x:row r="78" ht="92" customHeight="1">
      <x:c r="A78" s="22" t="str">
        <x:v>S74</x:v>
      </x:c>
      <x:c r="B78" s="22" t="str">
        <x:v>Costrada de Alcalá de Henares レシピ</x:v>
      </x:c>
      <x:c r="C78" s="22" t="str">
        <x:v>https://bake-street.com/en/costrada-de-alcala-de-henares/</x:v>
      </x:c>
      <x:c r="D78" s="22" t="str">
        <x:v>作り手のレシピ</x:v>
      </x:c>
      <x:c r="E78" s="22" t="str">
        <x:v>2026-09-28</x:v>
      </x:c>
      <x:c r="F78" s="22" t="str">
        <x:v>今回・関連記述を確認</x:v>
      </x:c>
      <x:c r="G78" s="22" t="str">
        <x:v>パイ生地、菓子用クリーム、メレンゲ、アーモンドの組合せを確認。歴史の一次史料でも、現地店のメニューでもない。</x:v>
      </x:c>
    </x:row>
    <x:row r="79" ht="92" customHeight="1">
      <x:c r="A79" s="24" t="str">
        <x:v>S75</x:v>
      </x:c>
      <x:c r="B79" s="24" t="str">
        <x:v>アルカラのコストラーダ・コンテスト報道</x:v>
      </x:c>
      <x:c r="C79" s="24" t="str">
        <x:v>https://www.alcalahoy.es/2024/11/28/primer-concurso-de-la-costrada-patrimonio-gastronomico-de-alcala/</x:v>
      </x:c>
      <x:c r="D79" s="24" t="str">
        <x:v>現地報道・証言</x:v>
      </x:c>
      <x:c r="E79" s="24" t="str">
        <x:v>2026-09-28</x:v>
      </x:c>
      <x:c r="F79" s="24" t="str">
        <x:v>今回・関連記述を確認</x:v>
      </x:c>
      <x:c r="G79" s="24" t="str">
        <x:v>2024-11-28。市の年代記編纂者の説明として1934年・Lino Gómez Nogueraを紹介。流布する19世紀Salinas説と一致せず、記事内にも年代の揺れがある。歴史は起源未確定として本文から年・発明店を落とす。</x:v>
      </x:c>
    </x:row>
    <x:row r="80" ht="92" customHeight="1">
      <x:c r="A80" s="22" t="str">
        <x:v>S76</x:v>
      </x:c>
      <x:c r="B80" s="22" t="str">
        <x:v>アランフエスのイチゴ</x:v>
      </x:c>
      <x:c r="C80" s="22" t="str">
        <x:v>https://www.fresasdearanjuez.es/</x:v>
      </x:c>
      <x:c r="D80" s="22" t="str">
        <x:v>地元生産者団体</x:v>
      </x:c>
      <x:c r="E80" s="22" t="str">
        <x:v>2026-09-28</x:v>
      </x:c>
      <x:c r="F80" s="22" t="str">
        <x:v>今回・関連記述を確認</x:v>
      </x:c>
      <x:c r="G80" s="22" t="str">
        <x:v>小さいfresaとfresónを区別している。栽培の労力、傷みやすさ、保全の取組。サイト内の学名の誤記・年代の不整合は転記しない。</x:v>
      </x:c>
    </x:row>
    <x:row r="81" ht="92" customHeight="1">
      <x:c r="A81" s="24" t="str">
        <x:v>S77</x:v>
      </x:c>
      <x:c r="B81" s="24" t="str">
        <x:v>アランフエスのアスパラガス</x:v>
      </x:c>
      <x:c r="C81" s="24" t="str">
        <x:v>https://delahuertadearanjuez.es/esparrago-de-aranjuez/</x:v>
      </x:c>
      <x:c r="D81" s="24" t="str">
        <x:v>現地生産者</x:v>
      </x:c>
      <x:c r="E81" s="24" t="str">
        <x:v>2026-09-28</x:v>
      </x:c>
      <x:c r="F81" s="24" t="str">
        <x:v>今回・関連記述を確認</x:v>
      </x:c>
      <x:c r="G81" s="24" t="str">
        <x:v>緑色のアスパラガス、通称Pericos、春が旬。蒸す、炭火・鉄板、卵料理などの用途。栄養・健康の宣伝文句は採用しない。菜園見学への導線はあるが空席・実施日は未確認。</x:v>
      </x:c>
    </x:row>
    <x:row r="82" ht="92" customHeight="1">
      <x:c r="A82" s="22" t="str">
        <x:v>S78</x:v>
      </x:c>
      <x:c r="B82" s="22" t="str">
        <x:v>アランフエス農産物等の品質表示計画</x:v>
      </x:c>
      <x:c r="C82" s="22" t="str">
        <x:v>https://www.comunidad.madrid/noticias/2026/02/04/comunidad-madrid-incorporara-sellos-calidad-fresas-esparragos-aranjuez-ajo-fino-chinchon-miel-madrid</x:v>
      </x:c>
      <x:c r="D82" s="22" t="str">
        <x:v>州政府公式・2026-02-04</x:v>
      </x:c>
      <x:c r="E82" s="22" t="str">
        <x:v>2026-09-28</x:v>
      </x:c>
      <x:c r="F82" s="22" t="str">
        <x:v>今回・関連記述を確認</x:v>
      </x:c>
      <x:c r="G82" s="22" t="str">
        <x:v>イチゴ、アスパラガス、ニンニク、蜂蜜の品質表示について、仕様書作成・EU申請に向けた計画を説明する発表。最終登録の証拠ではない。その後の登録状況は未確認のため新しいDOP/IGPを取得済みと書かない。</x:v>
      </x:c>
    </x:row>
    <x:row r="83" ht="92" customHeight="1">
      <x:c r="A83" s="24" t="str">
        <x:v>S79</x:v>
      </x:c>
      <x:c r="B83" s="24" t="str">
        <x:v>Antonio Simón オーク蜂蜜・産地表示</x:v>
      </x:c>
      <x:c r="C83" s="24" t="str">
        <x:v>https://miel-antoniosimon.com/producto/miel-ecologica-de-roble/</x:v>
      </x:c>
      <x:c r="D83" s="24" t="str">
        <x:v>生産販売者公式</x:v>
      </x:c>
      <x:c r="E83" s="24" t="str">
        <x:v>2026-09-28</x:v>
      </x:c>
      <x:c r="F83" s="24" t="str">
        <x:v>今回・関連記述を確認</x:v>
      </x:c>
      <x:c r="G83" s="24" t="str">
        <x:v>会社はCobeña（Madrid）所在だが、この商品の説明はスペインとポルトガルの蜂蜜。所在地だけで州内採蜜と断定できない具体例。効能、受賞順位、口コミの味覚評価は転載しない。</x:v>
      </x:c>
    </x:row>
    <x:row r="84" ht="92" customHeight="1">
      <x:c r="A84" s="22" t="str">
        <x:v>S80</x:v>
      </x:c>
      <x:c r="B84" s="22" t="str">
        <x:v>Miel Antonio Simón 公式</x:v>
      </x:c>
      <x:c r="C84" s="22" t="str">
        <x:v>https://miel-antoniosimon.com/</x:v>
      </x:c>
      <x:c r="D84" s="22" t="str">
        <x:v>生産販売者公式</x:v>
      </x:c>
      <x:c r="E84" s="22" t="str">
        <x:v>2026-09-28</x:v>
      </x:c>
      <x:c r="F84" s="22" t="str">
        <x:v>今回・関連記述を確認</x:v>
      </x:c>
      <x:c r="G84" s="22" t="str">
        <x:v>マドリード州所在の養蜂・販売事業者。商品の存在を確認。全商品がマドリード州内採蜜であることは証明しない。</x:v>
      </x:c>
    </x:row>
    <x:row r="85" ht="92" customHeight="1">
      <x:c r="A85" s="24" t="str">
        <x:v>S81</x:v>
      </x:c>
      <x:c r="B85" s="24" t="str">
        <x:v>Eva ArguiñanoのHuesos de Expedito</x:v>
      </x:c>
      <x:c r="C85" s="24" t="str">
        <x:v>https://www.hogarmania.com/cocina/recetas/postres/huesos-expedito-24561.html</x:v>
      </x:c>
      <x:c r="D85" s="24" t="str">
        <x:v>料理人のレシピ</x:v>
      </x:c>
      <x:c r="E85" s="24" t="str">
        <x:v>2026-09-28</x:v>
      </x:c>
      <x:c r="F85" s="24" t="str">
        <x:v>今回・関連記述を確認</x:v>
      </x:c>
      <x:c r="G85" s="24" t="str">
        <x:v>小麦粉、卵、アニス等の生地を細長くして切れ目を入れ、揚げて粉糖。聖週間の菓子として特にセビリアにも言及。マドリード固有としない。</x:v>
      </x:c>
    </x:row>
    <x:row r="86" ht="92" customHeight="1">
      <x:c r="A86" s="22" t="str">
        <x:v>S82</x:v>
      </x:c>
      <x:c r="B86" s="22" t="str">
        <x:v>プラド・スルバラン《器のある静物》</x:v>
      </x:c>
      <x:c r="C86" s="22" t="str">
        <x:v>https://www.museodelprado.es/aprende/enciclopedia/voz/bodegon-con-cacharros-zurbaran/98bc3d58-c579-4973-bb9d-4913955c005c</x:v>
      </x:c>
      <x:c r="D86" s="22" t="str">
        <x:v>美術館公式</x:v>
      </x:c>
      <x:c r="E86" s="22" t="str">
        <x:v>2026-09-28</x:v>
      </x:c>
      <x:c r="F86" s="22" t="str">
        <x:v>今回・関連記述を確認</x:v>
      </x:c>
      <x:c r="G86" s="22" t="str">
        <x:v>作品P002803。食文化の補助として水の器や金属・陶器に注目する編集案。収蔵と当日の展示は別。作品画像の商用転載権は未確認。</x:v>
      </x:c>
    </x:row>
    <x:row r="87" ht="92" customHeight="1">
      <x:c r="A87" s="24" t="str">
        <x:v>S83</x:v>
      </x:c>
      <x:c r="B87" s="24" t="str">
        <x:v>プラド・同作品のやさしい解説</x:v>
      </x:c>
      <x:c r="C87" s="24" t="str">
        <x:v>https://www.museodelprado.es/lectura-facil/bodegon-con-cacharros-zurbaran/928d34c8-ce8d-ec63-1d92-f193cf162f40</x:v>
      </x:c>
      <x:c r="D87" s="24" t="str">
        <x:v>美術館公式</x:v>
      </x:c>
      <x:c r="E87" s="24" t="str">
        <x:v>2026-09-28</x:v>
      </x:c>
      <x:c r="F87" s="24" t="str">
        <x:v>今回・関連記述を確認</x:v>
      </x:c>
      <x:c r="G87" s="24" t="str">
        <x:v>器の用途に関する補助解説。S82と同一作品・同一機関の別ページで、独立した二つの裏付けとは数えない。</x:v>
      </x:c>
    </x:row>
    <x:row r="88" ht="92" customHeight="1">
      <x:c r="A88" s="22" t="str">
        <x:v>S84</x:v>
      </x:c>
      <x:c r="B88" s="22" t="str">
        <x:v>Casa Enriqueta・サンイシドロと内臓料理</x:v>
      </x:c>
      <x:c r="C88" s="22" t="str">
        <x:v>https://gallinejasenriqueta.es/san-isidro</x:v>
      </x:c>
      <x:c r="D88" s="22" t="str">
        <x:v>飲食店公式・2022年記事</x:v>
      </x:c>
      <x:c r="E88" s="22" t="str">
        <x:v>2026-09-28</x:v>
      </x:c>
      <x:c r="F88" s="22" t="str">
        <x:v>今回・関連記述を確認</x:v>
      </x:c>
      <x:c r="G88" s="22" t="str">
        <x:v>羊の腸と腸間膜など、部位と祭りの関係。2022年のイベント記述を現在の開催案内にはしない。</x:v>
      </x:c>
    </x:row>
    <x:row r="89" ht="92" customHeight="1">
      <x:c r="A89" s="24" t="str">
        <x:v>S85</x:v>
      </x:c>
      <x:c r="B89" s="24" t="str">
        <x:v>Casa Enriqueta・家族の来歴</x:v>
      </x:c>
      <x:c r="C89" s="24" t="str">
        <x:v>https://gallinejasenriqueta.es/nuestra-historia</x:v>
      </x:c>
      <x:c r="D89" s="24" t="str">
        <x:v>飲食店の自己紹介</x:v>
      </x:c>
      <x:c r="E89" s="24" t="str">
        <x:v>2026-09-28</x:v>
      </x:c>
      <x:c r="F89" s="24" t="str">
        <x:v>今回・関連記述を確認</x:v>
      </x:c>
      <x:c r="G89" s="24" t="str">
        <x:v>家族の露店と店の歴史を区別。家族史の1909年を現レストランの開店年に置き換えない。</x:v>
      </x:c>
    </x:row>
    <x:row r="90" ht="92" customHeight="1">
      <x:c r="A90" s="22" t="str">
        <x:v>S86</x:v>
      </x:c>
      <x:c r="B90" s="22" t="str">
        <x:v>アランフエスのアスパラガス・生産者団体</x:v>
      </x:c>
      <x:c r="C90" s="22" t="str">
        <x:v>https://www.esparragodearanjuez.es/</x:v>
      </x:c>
      <x:c r="D90" s="22" t="str">
        <x:v>地元生産者団体</x:v>
      </x:c>
      <x:c r="E90" s="22" t="str">
        <x:v>2026-09-28</x:v>
      </x:c>
      <x:c r="F90" s="22" t="str">
        <x:v>今回・関連記述を確認</x:v>
      </x:c>
      <x:c r="G90" s="22" t="str">
        <x:v>緑のアスパラガスとPericosの呼称を補助確認。栄養表示の単位が不自然な箇所は使用しない。</x:v>
      </x:c>
    </x:row>
    <x:row r="91">
      <x:c r="A91" s="6"/>
      <x:c r="B91" s="6"/>
      <x:c r="C91" s="6"/>
      <x:c r="D91" s="6"/>
      <x:c r="E91" s="6"/>
      <x:c r="F91" s="6"/>
      <x:c r="G91" s="6"/>
    </x:row>
  </x:sheetData>
  <x:mergeCells>
    <x:mergeCell ref="A1:G1"/>
    <x:mergeCell ref="A2:G2"/>
  </x:mergeCells>
  <x:pageMargins left="0.7" right="0.7" top="0.75" bottom="0.75" header="0.3" footer="0.3"/>
  <x:tableParts count="1">
    <x:tablePart xmlns:r="http://schemas.openxmlformats.org/officeDocument/2006/relationships" r:id="Rd0975fb657b04964"/>
  </x:tableParts>
</x:worksheet>
</file>

<file path=xl/worksheets/sheet6.xml><?xml version="1.0" encoding="utf-8"?>
<x:worksheet xmlns:x="http://schemas.openxmlformats.org/spreadsheetml/2006/main">
  <x:sheetFormatPr defaultRowHeight="15"/>
  <x:cols>
    <x:col min="1" max="1" width="8" hidden="0" customWidth="1"/>
    <x:col min="2" max="2" width="9" hidden="0" customWidth="1"/>
    <x:col min="3" max="3" width="28" hidden="0" customWidth="1"/>
    <x:col min="4" max="4" width="29" hidden="0" customWidth="1"/>
    <x:col min="5" max="5" width="40" hidden="0" customWidth="1"/>
    <x:col min="6" max="6" width="35" hidden="0" customWidth="1"/>
    <x:col min="7" max="7" width="22" hidden="0" customWidth="1"/>
    <x:col min="8" max="8" width="40" hidden="0" customWidth="1"/>
  </x:cols>
  <x:sheetData>
    <x:row r="1" ht="32" customHeight="1">
      <x:c r="A1" s="9" t="str">
        <x:v>既存の優先40項目</x:v>
      </x:c>
      <x:c r="B1" s="9"/>
      <x:c r="C1" s="9"/>
      <x:c r="D1" s="9"/>
      <x:c r="E1" s="9"/>
      <x:c r="F1" s="9"/>
      <x:c r="G1" s="9"/>
      <x:c r="H1" s="9"/>
    </x:row>
    <x:row r="2" ht="32" customHeight="1">
      <x:c r="A2" s="13" t="str">
        <x:v>40は100項目の短縮候補。元の100を削除・置換するものではありません。</x:v>
      </x:c>
      <x:c r="B2" s="13"/>
      <x:c r="C2" s="13"/>
      <x:c r="D2" s="13"/>
      <x:c r="E2" s="13"/>
      <x:c r="F2" s="13"/>
      <x:c r="G2" s="13"/>
      <x:c r="H2" s="13"/>
    </x:row>
    <x:row r="3">
      <x:c r="A3" s="6"/>
      <x:c r="B3" s="6"/>
      <x:c r="C3" s="6"/>
      <x:c r="D3" s="6"/>
      <x:c r="E3" s="6"/>
      <x:c r="F3" s="6"/>
      <x:c r="G3" s="6"/>
      <x:c r="H3" s="6"/>
    </x:row>
    <x:row r="4" ht="32" customHeight="1">
      <x:c r="A4" s="18" t="str">
        <x:v>順</x:v>
      </x:c>
      <x:c r="B4" s="18" t="str">
        <x:v>元ID</x:v>
      </x:c>
      <x:c r="C4" s="18" t="str">
        <x:v>日本語名</x:v>
      </x:c>
      <x:c r="D4" s="18" t="str">
        <x:v>現地語名</x:v>
      </x:c>
      <x:c r="E4" s="18" t="str">
        <x:v>本文候補</x:v>
      </x:c>
      <x:c r="F4" s="18" t="str">
        <x:v>写真の状態</x:v>
      </x:c>
      <x:c r="G4" s="18" t="str">
        <x:v>写真ID</x:v>
      </x:c>
      <x:c r="H4" s="18" t="str">
        <x:v>出典URL</x:v>
      </x:c>
    </x:row>
    <x:row r="5" ht="92" customHeight="1">
      <x:c r="A5" s="24" t="n">
        <x:v>1</x:v>
      </x:c>
      <x:c r="B5" s="24" t="str">
        <x:v>M011</x:v>
      </x:c>
      <x:c r="C5" s="24" t="str">
        <x:v>イカフライのボカディージョ</x:v>
      </x:c>
      <x:c r="D5" s="24" t="str">
        <x:v>Bocadillo de calamares</x:v>
      </x:c>
      <x:c r="E5" s="24" t="str">
        <x:v>揚げたイカをパンに挟むボカディージョ。内陸の首都を代表する軽食として、市の観光案内にも登場する。マヨール広場周辺の散策と組み合わせると、最初の一食を決めやすい。ソースを使う店もあり、すべてを同じ味付けと考えないこと。パンに挟むイカの量や衣の形、ソースの有無も店ごとの違いになる。</x:v>
      </x:c>
      <x:c r="F5" s="24" t="str">
        <x:v>対象写真候補あり（現行店・現地性は別確認）</x:v>
      </x:c>
      <x:c r="G5" s="24" t="str">
        <x:v>P012</x:v>
      </x:c>
      <x:c r="H5" s="24" t="str">
        <x:v>https://www.esmadrid.com/bocadillo-calamares-receta-tablafina-madrid
https://www.esmadrid.com/informacion-turistica/plaza-mayor-madrid</x:v>
      </x:c>
    </x:row>
    <x:row r="6" ht="92" customHeight="1">
      <x:c r="A6" s="22" t="n">
        <x:v>2</x:v>
      </x:c>
      <x:c r="B6" s="22" t="str">
        <x:v>M061</x:v>
      </x:c>
      <x:c r="C6" s="22" t="str">
        <x:v>チュロス</x:v>
      </x:c>
      <x:c r="D6" s="22" t="str">
        <x:v>Churros</x:v>
      </x:c>
      <x:c r="E6" s="22" t="str">
        <x:v>チュロスと温かいチョコレートは、マドリードの甘いものを知る分かりやすい組合せ。San Ginésはその組合せで知られる店の一つだ。細長い揚げ生地だけで完結させず、カップの濃いチョコレートに浸す食べ方まで一緒に選びたい。朝食にも休憩にも組み込めるが、深夜営業や24時間営業は店ごとの現在の案内を確認しよう。</x:v>
      </x:c>
      <x:c r="F6" s="22" t="str">
        <x:v>対象写真候補あり（現行店・現地性は別確認）</x:v>
      </x:c>
      <x:c r="G6" s="22" t="str">
        <x:v>P026</x:v>
      </x:c>
      <x:c r="H6" s="22" t="str">
        <x:v>https://www.esmadrid.com/churros-con-chocolate-receta-san-gines-madrid</x:v>
      </x:c>
    </x:row>
    <x:row r="7" ht="92" customHeight="1">
      <x:c r="A7" s="24" t="n">
        <x:v>3</x:v>
      </x:c>
      <x:c r="B7" s="24" t="str">
        <x:v>M062</x:v>
      </x:c>
      <x:c r="C7" s="24" t="str">
        <x:v>ポラス</x:v>
      </x:c>
      <x:c r="D7" s="24" t="str">
        <x:v>Porras</x:v>
      </x:c>
      <x:c r="E7" s="24" t="str">
        <x:v>ポラスはチュロスより太い揚げ生地。どちらも同じものの大小として済ませず、形や切り分けられ方を見比べると違いが分かりやすい。チョコレートと合わせて頼む場合も、チュロスとポラスのどちらを選ぶかを店頭で確かめたい。チュロスとポラスを同じ機会に少しずつ選ぶ方法もある。</x:v>
      </x:c>
      <x:c r="F7" s="24" t="str">
        <x:v>対象写真候補あり（現行店・現地性は別確認）</x:v>
      </x:c>
      <x:c r="G7" s="24" t="str">
        <x:v>P026</x:v>
      </x:c>
      <x:c r="H7" s="24" t="str">
        <x:v>https://www.esmadrid.com/churros-con-chocolate-receta-san-gines-madrid</x:v>
      </x:c>
    </x:row>
    <x:row r="8" ht="92" customHeight="1">
      <x:c r="A8" s="22" t="n">
        <x:v>4</x:v>
      </x:c>
      <x:c r="B8" s="22" t="str">
        <x:v>M001</x:v>
      </x:c>
      <x:c r="C8" s="22" t="str">
        <x:v>コシード・マドリレーニョ</x:v>
      </x:c>
      <x:c r="D8" s="22" t="str">
        <x:v>Cocido madrileño</x:v>
      </x:c>
      <x:c r="E8" s="22" t="str">
        <x:v>ひよこ豆、肉、野菜を煮込み、汁と具を分けて楽しむマドリードの代表料理。スープから豆、野菜、肉へと皿が進むが、「必ず3皿」ではない。La Bolaは個別の土鍋と炭火を使う2段階の提供、La Claveはコロッケから始まる4段階の例を紹介している。食材だけでなく、一つの鍋をどう食卓に運ぶかにも店の違いがある。滞在中の昼食を一度この料理に充て、提供日と予約条件を料理名付きで確かめておきたい。</x:v>
      </x:c>
      <x:c r="F8" s="22" t="str">
        <x:v>対象写真候補あり（現行店・現地性は別確認）</x:v>
      </x:c>
      <x:c r="G8" s="22" t="str">
        <x:v>P001, P003</x:v>
      </x:c>
      <x:c r="H8" s="22" t="str">
        <x:v>https://www.esmadrid.com/cocidos-madrid-receta-la-clave
https://lhardy.com/carta/
https://www.losgalayos.net/documentos/carta_es-en.pdf
https://labola.es/en</x:v>
      </x:c>
    </x:row>
    <x:row r="9" ht="92" customHeight="1">
      <x:c r="A9" s="24" t="n">
        <x:v>5</x:v>
      </x:c>
      <x:c r="B9" s="24" t="str">
        <x:v>M012</x:v>
      </x:c>
      <x:c r="C9" s="24" t="str">
        <x:v>タラの衣揚げ／ソルダディートス</x:v>
      </x:c>
      <x:c r="D9" s="24" t="str">
        <x:v>Bacalao rebozado / Soldaditos de Pavía</x:v>
      </x:c>
      <x:c r="E9" s="24" t="str">
        <x:v>タラに衣を付けて揚げる料理。市の料理案内にはSoldaditos de Pavíaも登場するが、タラの衣揚げ全般を必ず同じ名称・形として扱わない方がよい。ソル近くのCasa Labraはタラの衣揚げとタラのクロケタを探せる店の一つ。揚げ物を二つ並べるなら、魚の身を衣で包むものと、中身をまとめて成形するクロケタの違いに注目したい。</x:v>
      </x:c>
      <x:c r="F9" s="24" t="str">
        <x:v>対象写真候補あり（現行店・現地性は別確認）</x:v>
      </x:c>
      <x:c r="G9" s="24" t="str">
        <x:v>P005</x:v>
      </x:c>
      <x:c r="H9" s="24" t="str">
        <x:v>https://www.casaalberto.es/carta-restaurante-en?idIdioma=2
https://www.esmadrid.com/recetas-madrid
https://www.esmadrid.com/de/madrider-gastronomie
https://www.esmadrid.com/gastronomia-madrid
https://www.esmadrid.com/restaurantes/casa-labra</x:v>
      </x:c>
    </x:row>
    <x:row r="10" ht="92" customHeight="1">
      <x:c r="A10" s="22" t="n">
        <x:v>6</x:v>
      </x:c>
      <x:c r="B10" s="22" t="str">
        <x:v>M095</x:v>
      </x:c>
      <x:c r="C10" s="22" t="str">
        <x:v>樽出しベルモット</x:v>
      </x:c>
      <x:c r="D10" s="22" t="str">
        <x:v>Vermut de grifo</x:v>
      </x:c>
      <x:c r="E10" s="22" t="str">
        <x:v>樽から注ぐベルモットは、食前の一杯を選ぶ候補。Los Galayosや市場の販売情報にも樽出しの扱いが見られる。スペイン語ではvermut de grifoという表記が目印になる。「樽生」と呼んでも生ビールの一種ではなく、ベルモットという酒だ。タラの衣揚げや漬物の串と組み合わせる案があるが、飲酒は必須ではない。</x:v>
      </x:c>
      <x:c r="F10" s="22" t="str">
        <x:v>対象写真未確保</x:v>
      </x:c>
      <x:c r="G10" s="22" t="str"/>
      <x:c r="H10" s="22" t="str">
        <x:v>https://www.losgalayos.net/nuestro-menu
https://mercadodesanmiguel.es/puestos/
https://www.esmadrid.com/gastronomia-madrid</x:v>
      </x:c>
    </x:row>
    <x:row r="11" ht="92" customHeight="1">
      <x:c r="A11" s="24" t="n">
        <x:v>7</x:v>
      </x:c>
      <x:c r="B11" s="24" t="str">
        <x:v>M021</x:v>
      </x:c>
      <x:c r="C11" s="24" t="str">
        <x:v>パタタス・ブラバス</x:v>
      </x:c>
      <x:c r="D11" s="24" t="str">
        <x:v>Patatas bravas</x:v>
      </x:c>
      <x:c r="E11" s="24" t="str">
        <x:v>ジャガイモにブラバソースを合わせる酒場の一皿。単純に見える分、ジャガイモの切り方、ソースのかけ方、辛さの違いを見つけやすい。赤いソースだからケチャップ味、という説明は避けたい。トルティージャと合わせれば、同じジャガイモを使った二つの食べ方を少量ずつ比べられる。皿の大きさはメニューで確認しよう。</x:v>
      </x:c>
      <x:c r="F11" s="24" t="str">
        <x:v>対象写真候補あり（現行店・現地性は別確認）</x:v>
      </x:c>
      <x:c r="G11" s="24" t="str">
        <x:v>P052</x:v>
      </x:c>
      <x:c r="H11" s="24" t="str">
        <x:v>https://gallinejasenriqueta.es/nuestra-carta-la-carta
https://elescarpinsidreria.com/
https://www.esmadrid.com/recetas-madrid
https://www.esmadrid.com/gastronomia-madrid</x:v>
      </x:c>
    </x:row>
    <x:row r="12" ht="92" customHeight="1">
      <x:c r="A12" s="22" t="n">
        <x:v>8</x:v>
      </x:c>
      <x:c r="B12" s="22" t="str">
        <x:v>M023</x:v>
      </x:c>
      <x:c r="C12" s="22" t="str">
        <x:v>ジャガイモのトルティージャ</x:v>
      </x:c>
      <x:c r="D12" s="22" t="str">
        <x:v>Tortilla de patatas</x:v>
      </x:c>
      <x:c r="E12" s="22" t="str">
        <x:v>卵とジャガイモを主体にしたトルティージャ。全国的な料理だが、マドリードでも酒場や販売店で出会える定番だ。玉ねぎ入りかどうか、切り分け売りか一枚なのかで注文の仕方が変わる。大きな煮込みの前に軽く試すなら、一切れで頼めるかを確かめるとよい。マドリードで食べる定番と、マドリード発祥の料理は分けて考えたい。</x:v>
      </x:c>
      <x:c r="F12" s="22" t="str">
        <x:v>対象写真未確保</x:v>
      </x:c>
      <x:c r="G12" s="22" t="str"/>
      <x:c r="H12" s="22" t="str">
        <x:v>https://gallinejasenriqueta.es/nuestra-carta-la-carta
https://elescarpinsidreria.com/
https://pastelerialamallorquina.es/salados/
https://www.esmadrid.com/gastronomia-madrid
https://www.esmadrid.com/recetas-madrid</x:v>
      </x:c>
    </x:row>
    <x:row r="13" ht="92" customHeight="1">
      <x:c r="A13" s="24" t="n">
        <x:v>9</x:v>
      </x:c>
      <x:c r="B13" s="24" t="str">
        <x:v>M022</x:v>
      </x:c>
      <x:c r="C13" s="24" t="str">
        <x:v>クロケタ</x:v>
      </x:c>
      <x:c r="D13" s="24" t="str">
        <x:v>Croquetas</x:v>
      </x:c>
      <x:c r="E13" s="24" t="str">
        <x:v>ハムや煮込みの具などを使う、小さなクロケタ。Casa Alberto、Lhardy、Casa Enriquetaなどでは、それぞれの具材の版を探せる。見た目が似ていても中身は同じではないので、jamón、cocido、bacalaoといった具材名を読むのが選び方の近道。肉の煮込みを食べた後なら、魚を使うものを選ぶという組合せもできる。</x:v>
      </x:c>
      <x:c r="F13" s="24" t="str">
        <x:v>対象写真候補あり（現行店・現地性は別確認）</x:v>
      </x:c>
      <x:c r="G13" s="24" t="str">
        <x:v>P027</x:v>
      </x:c>
      <x:c r="H13" s="24" t="str">
        <x:v>https://www.casaalberto.es/carta-restaurante-en?idIdioma=2
https://lhardy.com/carta/
https://gallinejasenriqueta.es/nuestra-carta-la-carta
https://www.esmadrid.com/gastronomia-madrid</x:v>
      </x:c>
    </x:row>
    <x:row r="14" ht="92" customHeight="1">
      <x:c r="A14" s="22" t="n">
        <x:v>10</x:v>
      </x:c>
      <x:c r="B14" s="22" t="str">
        <x:v>M024</x:v>
      </x:c>
      <x:c r="C14" s="22" t="str">
        <x:v>ガンバス・アル・アヒージョ</x:v>
      </x:c>
      <x:c r="D14" s="22" t="str">
        <x:v>Gambas al ajillo</x:v>
      </x:c>
      <x:c r="E14" s="22" t="str">
        <x:v>エビをニンニクと油で調理するガンバス・アル・アヒージョ。La Casa del AbueloやCasa Albertoのような店を探す手がかりになる。料理そのものだけでなく、器やニンニクの使い方を見ると紹介が具体的になる。ただし、店が出すワインまでマドリード産とは限らない。地元産の飲み物も選びたい場合は、料理と別に産地表示を読もう。</x:v>
      </x:c>
      <x:c r="F14" s="22" t="str">
        <x:v>対象写真候補あり（現行店・現地性は別確認）</x:v>
      </x:c>
      <x:c r="G14" s="22" t="str">
        <x:v>P029</x:v>
      </x:c>
      <x:c r="H14" s="22" t="str">
        <x:v>https://www.lacasadelabuelo.es/
https://www.casaalberto.es/carta-restaurante-en?idIdioma=2
https://www.esmadrid.com/gastronomia-madrid</x:v>
      </x:c>
    </x:row>
    <x:row r="15" ht="92" customHeight="1">
      <x:c r="A15" s="24" t="n">
        <x:v>11</x:v>
      </x:c>
      <x:c r="B15" s="24" t="str">
        <x:v>M025</x:v>
      </x:c>
      <x:c r="C15" s="24" t="str">
        <x:v>マッシュルームのアヒージョ</x:v>
      </x:c>
      <x:c r="D15" s="24" t="str">
        <x:v>Champiñones al ajillo</x:v>
      </x:c>
      <x:c r="E15" s="24" t="str">
        <x:v>マッシュルームをニンニク風味に仕上げる料理。肉や内臓料理が続く食事の間に、キノコの皿を置く選び方ができる。champiñonesの料理でも、鉄板焼きや詰め物入りなど仕上げはさまざま。メニューにal ajilloとあるかを見て、ハムなどの追加具材も確かめたい。キノコ料理だから必ず菜食向きとは限らない。</x:v>
      </x:c>
      <x:c r="F15" s="24" t="str">
        <x:v>対象写真候補あり（現行店・現地性は別確認）</x:v>
      </x:c>
      <x:c r="G15" s="24" t="str">
        <x:v>P009</x:v>
      </x:c>
      <x:c r="H15" s="24" t="str">
        <x:v>https://www.esmadrid.com/de/madrider-gastronomie</x:v>
      </x:c>
    </x:row>
    <x:row r="16" ht="92" customHeight="1">
      <x:c r="A16" s="22" t="n">
        <x:v>12</x:v>
      </x:c>
      <x:c r="B16" s="22" t="str">
        <x:v>M026</x:v>
      </x:c>
      <x:c r="C16" s="22" t="str">
        <x:v>カタクチイワシの酢漬け（ボケロネス）</x:v>
      </x:c>
      <x:c r="D16" s="22" t="str">
        <x:v>Boquerones en vinagre</x:v>
      </x:c>
      <x:c r="E16" s="22" t="str">
        <x:v>ボケロネス・エン・ビナグレは、カタクチイワシ類を酢でマリネした冷たい料理。塩漬けのアンチョビとは別物として選びたい。保存・加工した魚をつまみにする一例で、熱い揚げ物ばかりになったときの組合せ候補にもなる。市場の写真では白くなった身が容器に並ぶが、写真の色だけで酢の種類や熟成時間までは分からない。</x:v>
      </x:c>
      <x:c r="F16" s="22" t="str">
        <x:v>対象写真候補あり（現行店・現地性は別確認）</x:v>
      </x:c>
      <x:c r="G16" s="22" t="str">
        <x:v>P008</x:v>
      </x:c>
      <x:c r="H16" s="22" t="str">
        <x:v>https://www.esmadrid.com/de/madrider-gastronomie</x:v>
      </x:c>
    </x:row>
    <x:row r="17" ht="92" customHeight="1">
      <x:c r="A17" s="24" t="n">
        <x:v>13</x:v>
      </x:c>
      <x:c r="B17" s="24" t="str">
        <x:v>M028</x:v>
      </x:c>
      <x:c r="C17" s="24" t="str">
        <x:v>バンデリージャ（漬物の串）</x:v>
      </x:c>
      <x:c r="D17" s="24" t="str">
        <x:v>Banderillas de encurtidos</x:v>
      </x:c>
      <x:c r="E17" s="24" t="str">
        <x:v>バンデリージャは、オリーブなどの漬物を串に組み合わせた一口のつまみ。サン・ミゲル市場の販売店情報などから探せる。大皿を何品も頼む前に、小さなつまみを選びたいときの候補になる。串に入るものは一定ではなく、魚を組み合わせる場合もあるので具材を見て選ぼう。小さくても別注文の有料商品である可能性を忘れないこと。</x:v>
      </x:c>
      <x:c r="F17" s="24" t="str">
        <x:v>対象写真候補あり（現行店・現地性は別確認）</x:v>
      </x:c>
      <x:c r="G17" s="24" t="str">
        <x:v>P006</x:v>
      </x:c>
      <x:c r="H17" s="24" t="str">
        <x:v>https://mercadodesanmiguel.es/puestos/
https://www.losgalayos.net/nuestro-menu</x:v>
      </x:c>
    </x:row>
    <x:row r="18" ht="92" customHeight="1">
      <x:c r="A18" s="22" t="n">
        <x:v>14</x:v>
      </x:c>
      <x:c r="B18" s="22" t="str">
        <x:v>M015</x:v>
      </x:c>
      <x:c r="C18" s="22" t="str">
        <x:v>ウエボス・ロトス</x:v>
      </x:c>
      <x:c r="D18" s="22" t="str">
        <x:v>Huevos rotos</x:v>
      </x:c>
      <x:c r="E18" s="22" t="str">
        <x:v>ジャガイモに卵を合わせ、崩して食べるウエボス・ロトス。ハムを載せる例もあり、卵を崩す前後で皿の見え方が変わる料理だ。El Escarpínなどのメニューが注文先の候補になる。料理名だけでは追加具材まで分からないので、ハム入りか別の具が付くかを読むとよい。トルティージャとは卵とジャガイモのまとめ方が違う。</x:v>
      </x:c>
      <x:c r="F18" s="22" t="str">
        <x:v>対象写真候補あり（現行店・現地性は別確認）</x:v>
      </x:c>
      <x:c r="G18" s="22" t="str">
        <x:v>P011</x:v>
      </x:c>
      <x:c r="H18" s="22" t="str">
        <x:v>https://elescarpinsidreria.com/
https://www.esmadrid.com/barrios-de-madrid/latina</x:v>
      </x:c>
    </x:row>
    <x:row r="19" ht="92" customHeight="1">
      <x:c r="A19" s="24" t="n">
        <x:v>15</x:v>
      </x:c>
      <x:c r="B19" s="24" t="str">
        <x:v>M002</x:v>
      </x:c>
      <x:c r="C19" s="24" t="str">
        <x:v>カジョス・ア・ラ・マドリレーニャ</x:v>
      </x:c>
      <x:c r="D19" s="24" t="str">
        <x:v>Callos a la madrileña</x:v>
      </x:c>
      <x:c r="E19" s="24" t="str">
        <x:v>牛の胃などを煮込むカジョスは、内臓料理が好きなら外せない一皿。部位の構成は店ごとに違い、Los Galayosのメニューには胃だけでなく足と鼻先も挙がる。「牛の胃袋だけの煮込み」と決めつけず、チョリソーなど一緒に使う具も見てみよう。コシードと同じ煮込みでも、豆を中心とする料理ではなく、内臓の部位を味わう料理として区別できる。</x:v>
      </x:c>
      <x:c r="F19" s="24" t="str">
        <x:v>対象写真候補あり（現行店・現地性は別確認）</x:v>
      </x:c>
      <x:c r="G19" s="24" t="str">
        <x:v>P002</x:v>
      </x:c>
      <x:c r="H19" s="24" t="str">
        <x:v>https://www.casaalberto.es/carta-restaurante-en?idIdioma=2
https://gallinejasenriqueta.es/nuestra-carta-la-carta
https://www.losgalayos.net/documentos/carta_es-en.pdf</x:v>
      </x:c>
    </x:row>
    <x:row r="20" ht="92" customHeight="1">
      <x:c r="A20" s="22" t="n">
        <x:v>16</x:v>
      </x:c>
      <x:c r="B20" s="22" t="str">
        <x:v>M003</x:v>
      </x:c>
      <x:c r="C20" s="22" t="str">
        <x:v>ガリネハスとエントレシホス</x:v>
      </x:c>
      <x:c r="D20" s="22" t="str">
        <x:v>Gallinejas y entresijos</x:v>
      </x:c>
      <x:c r="E20" s="22" t="str">
        <x:v>ガリネハスとエントレシホスは、どちらも羊の内臓を使うが同じ部位ではない。前者は腸、後者は腸間膜を揚げるもの。祭礼の食と結び付いた、マドリードの内臓料理を知る入口になる。両方を食べ比べるなら注文時に部位を確認したい。同じ揚げ物でも、皿に盛られた形と部位を見比べると違いが分かりやすい。</x:v>
      </x:c>
      <x:c r="F20" s="22" t="str">
        <x:v>一部のみ：エントレシホスあり、ガリネハス単独の対象写真は未確保</x:v>
      </x:c>
      <x:c r="G20" s="22" t="str">
        <x:v>P019</x:v>
      </x:c>
      <x:c r="H20" s="22" t="str">
        <x:v>https://gallinejasenriqueta.es/nuestra-carta-la-carta
https://blog.esmadrid.com/blog/es/2025/11/13/gallinejas-y-entresijos-el-madrid-castizo/
https://gallinejasenriqueta.es/san-isidro</x:v>
      </x:c>
    </x:row>
    <x:row r="21" ht="92" customHeight="1">
      <x:c r="A21" s="24" t="n">
        <x:v>17</x:v>
      </x:c>
      <x:c r="B21" s="24" t="str">
        <x:v>M004</x:v>
      </x:c>
      <x:c r="C21" s="24" t="str">
        <x:v>カヌートス</x:v>
      </x:c>
      <x:c r="D21" s="24" t="str">
        <x:v>Canutos</x:v>
      </x:c>
      <x:c r="E21" s="24" t="str">
        <x:v>カヌートスは、Casa Enriquetaが羊の太い腸を使う揚げ物として説明している一品。ガリネハス、エントレシホスと並ぶと、見慣れない名前の連続に感じるかもしれないが、鍵は部位の違いにある。この店の説明を手がかりに、腸の太さや形を比べると分かりやすい。名称だけから一般的な肉巻き料理などを想像せず、店で使う部位を確かめよう。</x:v>
      </x:c>
      <x:c r="F21" s="24" t="str">
        <x:v>対象写真未確保</x:v>
      </x:c>
      <x:c r="G21" s="24" t="str"/>
      <x:c r="H21" s="24" t="str">
        <x:v>https://gallinejasenriqueta.es/nuestra-carta-la-carta
https://gallinejasenriqueta.es/san-isidro</x:v>
      </x:c>
    </x:row>
    <x:row r="22" ht="92" customHeight="1">
      <x:c r="A22" s="22" t="n">
        <x:v>18</x:v>
      </x:c>
      <x:c r="B22" s="22" t="str">
        <x:v>M007</x:v>
      </x:c>
      <x:c r="C22" s="22" t="str">
        <x:v>豚耳の鉄板焼き</x:v>
      </x:c>
      <x:c r="D22" s="22" t="str">
        <x:v>Oreja a la plancha</x:v>
      </x:c>
      <x:c r="E22" s="22" t="str">
        <x:v>豚耳を鉄板で焼く、酒場の内臓料理。羊の腸を使う揚げ物とは材料も調理法も違い、同じ内臓料理の章でも食べ方の幅が見える。Casa EnriquetaやEl Escarpínのメニューが注文先を探す手がかりになる。料理名はoreja a la plancha。豚耳の料理でも、煮込みやソース付きではなく鉄板焼きを選ぶときの目印になる。</x:v>
      </x:c>
      <x:c r="F22" s="22" t="str">
        <x:v>対象写真候補あり（現行店・現地性は別確認）</x:v>
      </x:c>
      <x:c r="G22" s="22" t="str">
        <x:v>P038</x:v>
      </x:c>
      <x:c r="H22" s="22" t="str">
        <x:v>https://gallinejasenriqueta.es/nuestra-carta-la-carta
https://elescarpinsidreria.com/
https://www.esmadrid.com/de/madrider-gastronomie</x:v>
      </x:c>
    </x:row>
    <x:row r="23" ht="92" customHeight="1">
      <x:c r="A23" s="24" t="n">
        <x:v>19</x:v>
      </x:c>
      <x:c r="B23" s="24" t="str">
        <x:v>M009</x:v>
      </x:c>
      <x:c r="C23" s="24" t="str">
        <x:v>マドリード風カタツムリ煮込み</x:v>
      </x:c>
      <x:c r="D23" s="24" t="str">
        <x:v>Caracoles a la madrileña</x:v>
      </x:c>
      <x:c r="E23" s="24" t="str">
        <x:v>殻付きのカタツムリを煮込む料理で、Casa Albertoなどのメニューにも登場する。「カタツムリ料理はフランスだけ」というイメージを変える、マドリードの酒場料理の一つだ。ニンニクバターで焼く料理と同じものではない。現地のメニューでcaracolesを探し、辛さやソースの内容は店で確認しよう。</x:v>
      </x:c>
      <x:c r="F23" s="24" t="str">
        <x:v>対象写真候補あり（現行店・現地性は別確認）</x:v>
      </x:c>
      <x:c r="G23" s="24" t="str">
        <x:v>P013</x:v>
      </x:c>
      <x:c r="H23" s="24" t="str">
        <x:v>https://www.casaalberto.es/carta-restaurante-en?idIdioma=2
https://www.esmadrid.com/de/madrider-gastronomie</x:v>
      </x:c>
    </x:row>
    <x:row r="24" ht="92" customHeight="1">
      <x:c r="A24" s="22" t="n">
        <x:v>20</x:v>
      </x:c>
      <x:c r="B24" s="22" t="str">
        <x:v>M010</x:v>
      </x:c>
      <x:c r="C24" s="22" t="str">
        <x:v>ガジーナ・エン・ペピトリア</x:v>
      </x:c>
      <x:c r="D24" s="22" t="str">
        <x:v>Gallina en pepitoria</x:v>
      </x:c>
      <x:c r="E24" s="22" t="str">
        <x:v>ペピトリアは鶏を煮込むソースの料理。マドリードの料理専門団体がまとめたレシピでは、アーモンドや卵黄などがソースの組立てに関わる。黄色い色だけでカレーに似た料理と考えるより、ナッツと卵をどう使うかに注目したい。Casa Ciriacoのメニューにもある一方、料理の系譜はカスティーリャに広がるもので、マドリードで発明された鶏料理と断定はできない。</x:v>
      </x:c>
      <x:c r="F24" s="22" t="str">
        <x:v>対象写真候補あり（現行店・現地性は別確認）</x:v>
      </x:c>
      <x:c r="G24" s="22" t="str">
        <x:v>P010</x:v>
      </x:c>
      <x:c r="H24" s="22" t="str">
        <x:v>https://www.casaciriaco.es/carta-restaurante
https://www.casaalberto.es/carta-restaurante-en?idIdioma=2
https://www.esmadrid.com/sites/default/files/historia_culinaria_de_madrid.pdf</x:v>
      </x:c>
    </x:row>
    <x:row r="25" ht="92" customHeight="1">
      <x:c r="A25" s="24" t="n">
        <x:v>21</x:v>
      </x:c>
      <x:c r="B25" s="24" t="str">
        <x:v>M013</x:v>
      </x:c>
      <x:c r="C25" s="24" t="str">
        <x:v>ベスーゴのマドリード風</x:v>
      </x:c>
      <x:c r="D25" s="24" t="str">
        <x:v>Besugo a la madrileña</x:v>
      </x:c>
      <x:c r="E25" s="24" t="str">
        <x:v>ベスーゴをマドリード風に仕上げる伝統的な魚料理。市の郷土料理案内にも載っており、イカサンドや塩ダラ以外にも魚料理を探したい人の候補になる。魚名はbesugoのまま添えて、別の白身魚で代用した皿と区別したい。現在の提供店と予約条件は個別確認が必要で、どの老舗でも通年食べられるとは考えない方がよい。</x:v>
      </x:c>
      <x:c r="F25" s="24" t="str">
        <x:v>対象写真未確保</x:v>
      </x:c>
      <x:c r="G25" s="24" t="str"/>
      <x:c r="H25" s="24" t="str">
        <x:v>https://www.esmadrid.com/de/madrider-gastronomie</x:v>
      </x:c>
    </x:row>
    <x:row r="26" ht="92" customHeight="1">
      <x:c r="A26" s="22" t="n">
        <x:v>22</x:v>
      </x:c>
      <x:c r="B26" s="22" t="str">
        <x:v>M014</x:v>
      </x:c>
      <x:c r="C26" s="22" t="str">
        <x:v>ラルディのコンソメ</x:v>
      </x:c>
      <x:c r="D26" s="22" t="str">
        <x:v>Consomé de Lhardy</x:v>
      </x:c>
      <x:c r="E26" s="22" t="str">
        <x:v>老舗Lhardyを紹介するなら、コンソメも一つの入口になる。店の公式サイトで販売が紹介されている一杯で、大きな肉料理とは違う選び方ができる。Lhardyには食事のメニューと販売商品があるため、レストランでの注文と持ち帰り商品を混同しないようにしたい。訪問時は、希望する形で飲めるかを確認しよう。</x:v>
      </x:c>
      <x:c r="F26" s="22" t="str">
        <x:v>対象写真未確保</x:v>
      </x:c>
      <x:c r="G26" s="22" t="str"/>
      <x:c r="H26" s="22" t="str">
        <x:v>https://lhardy.com/
https://lhardy.com/carta/</x:v>
      </x:c>
    </x:row>
    <x:row r="27" ht="92" customHeight="1">
      <x:c r="A27" s="24" t="n">
        <x:v>23</x:v>
      </x:c>
      <x:c r="B27" s="24" t="str">
        <x:v>M016</x:v>
      </x:c>
      <x:c r="C27" s="24" t="str">
        <x:v>牛尾の煮込み</x:v>
      </x:c>
      <x:c r="D27" s="24" t="str">
        <x:v>Rabo de toro / rabo de ternera</x:v>
      </x:c>
      <x:c r="E27" s="24" t="str">
        <x:v>牛の尾を煮込む料理で、Casa Alberto、Casa Ciriaco、Los Galayosなどのメニューに関連する一品がある。rabo de toroという名前だけで、使う肉が闘牛由来だと断定しないこと。店によってrabo de terneraなど表記も異なる。カジョスの胃、カリジェーラの頬と並べて、牛のどの部位を食べるのかを比べると分かりやすい。</x:v>
      </x:c>
      <x:c r="F27" s="24" t="str">
        <x:v>対象写真未確保</x:v>
      </x:c>
      <x:c r="G27" s="24" t="str"/>
      <x:c r="H27" s="24" t="str">
        <x:v>https://www.casaalberto.es/carta-restaurante-en?idIdioma=2
https://www.casaciriaco.es/carta-restaurante
https://www.losgalayos.net/documentos/carta_es-en.pdf</x:v>
      </x:c>
    </x:row>
    <x:row r="28" ht="92" customHeight="1">
      <x:c r="A28" s="22" t="n">
        <x:v>24</x:v>
      </x:c>
      <x:c r="B28" s="22" t="str">
        <x:v>M020</x:v>
      </x:c>
      <x:c r="C28" s="22" t="str">
        <x:v>ポタヘ・デ・ビヒリア</x:v>
      </x:c>
      <x:c r="D28" s="22" t="str">
        <x:v>Potaje de vigilia</x:v>
      </x:c>
      <x:c r="E28" s="22" t="str">
        <x:v>ひよこ豆、ホウレンソウ、タラなどを合わせるポタヘ・デ・ビヒリアは、肉を控える時期の食文化とつながる煮込み。肉を多く使うコシードと並べると、同じ豆でも別の料理になることが分かる。魚を含むので、菜食料理という意味での「精進料理」ではない。聖週間などの時期に探す際も、提供日とその店の具材を確認したい。</x:v>
      </x:c>
      <x:c r="F28" s="22" t="str">
        <x:v>対象写真未確保</x:v>
      </x:c>
      <x:c r="G28" s="22" t="str"/>
      <x:c r="H28" s="22" t="str">
        <x:v>https://www.esmadrid.com/recetas-madrid
https://www.esmadrid.com/de/madrider-gastronomie</x:v>
      </x:c>
    </x:row>
    <x:row r="29" ht="92" customHeight="1">
      <x:c r="A29" s="24" t="n">
        <x:v>25</x:v>
      </x:c>
      <x:c r="B29" s="24" t="str">
        <x:v>M029</x:v>
      </x:c>
      <x:c r="C29" s="24" t="str">
        <x:v>カサ・ミンゴのローストチキン</x:v>
      </x:c>
      <x:c r="D29" s="24" t="str">
        <x:v>Pollo asado de Casa Mingo</x:v>
      </x:c>
      <x:c r="E29" s="24" t="str">
        <x:v>Casa Mingoが名物として掲げるローストチキン。公式サイトではシドラも店の中心に置かれており、鶏と飲み物を一緒に考えられる。観光とつなげるなら、近くのサン・アントニオ・デ・ラ・フロリダ礼拝堂が組合せの候補になる。礼拝堂の見学と店での食事は別の予定なので、それぞれの開館・営業を確認しておこう。</x:v>
      </x:c>
      <x:c r="F29" s="24" t="str">
        <x:v>対象写真未確保</x:v>
      </x:c>
      <x:c r="G29" s="24" t="str"/>
      <x:c r="H29" s="24" t="str">
        <x:v>https://www.casamingo.es/
https://www.madrid.es/portales/munimadrid/es/ErmitaDeSanAntonioDeLaFlorida/Ermita-de-San-Antonio-de-la-Florida/?vgnextchannel=33df541adec0b410VgnVCM1000000b205a0aRCRD&amp;vgnextfmt=default&amp;vgnextoid=797368822e3ab010VgnVCM100000d90ca8c0RCRD</x:v>
      </x:c>
    </x:row>
    <x:row r="30" ht="92" customHeight="1">
      <x:c r="A30" s="22" t="n">
        <x:v>26</x:v>
      </x:c>
      <x:c r="B30" s="22" t="str">
        <x:v>M063</x:v>
      </x:c>
      <x:c r="C30" s="22" t="str">
        <x:v>トリハス</x:v>
      </x:c>
      <x:c r="D30" s="22" t="str">
        <x:v>Torrijas</x:v>
      </x:c>
      <x:c r="E30" s="22" t="str">
        <x:v>トリハスはパンを使う甘い料理で、聖週間に結び付く菓子として紹介されている。パンが食事の主役から季節の甘味へ変わる一品だ。菓子店の売り場とレストランのデザートでは、仕上げや盛り付けが異なることもある。旅行時期が合うなら候補に加えつつ、店ごとの販売時期を確認して探したい。</x:v>
      </x:c>
      <x:c r="F30" s="22" t="str">
        <x:v>対象写真候補あり（現行店・現地性は別確認）</x:v>
      </x:c>
      <x:c r="G30" s="22" t="str">
        <x:v>P039, P040</x:v>
      </x:c>
      <x:c r="H30" s="22" t="str">
        <x:v>https://www.casaalberto.es/carta-restaurante-en?idIdioma=2
https://www.esmadrid.com/reposteria-tradicional
https://www.esmadrid.com/recetas-madrid</x:v>
      </x:c>
    </x:row>
    <x:row r="31" ht="92" customHeight="1">
      <x:c r="A31" s="24" t="n">
        <x:v>27</x:v>
      </x:c>
      <x:c r="B31" s="24" t="str">
        <x:v>M064</x:v>
      </x:c>
      <x:c r="C31" s="24" t="str">
        <x:v>バルトリージョス</x:v>
      </x:c>
      <x:c r="D31" s="24" t="str">
        <x:v>Bartolillos</x:v>
      </x:c>
      <x:c r="E31" s="24" t="str">
        <x:v>バルトリージョスは薄い生地にクリームを包んで揚げる菓子。三角形に近い形の完成品を見ると、塩味の包み料理と似ていても中身が違うことが分かる。ナポリターナのような焼く菓子パンとは、包んだ後に揚げる点も異なる。名前を見かけたら、クリームを包んだ小さな揚げ菓子として選びたい。</x:v>
      </x:c>
      <x:c r="F31" s="24" t="str">
        <x:v>対象写真候補あり（現行店・現地性は別確認）</x:v>
      </x:c>
      <x:c r="G31" s="24" t="str">
        <x:v>P032, P033, P034</x:v>
      </x:c>
      <x:c r="H31" s="24" t="str">
        <x:v>https://www.esmadrid.com/reposteria-tradicional</x:v>
      </x:c>
    </x:row>
    <x:row r="32" ht="92" customHeight="1">
      <x:c r="A32" s="22" t="n">
        <x:v>28</x:v>
      </x:c>
      <x:c r="B32" s="22" t="str">
        <x:v>M065</x:v>
      </x:c>
      <x:c r="C32" s="22" t="str">
        <x:v>サン・イシドロのロスキージャス</x:v>
      </x:c>
      <x:c r="D32" s="22" t="str">
        <x:v>Rosquillas de San Isidro</x:v>
      </x:c>
      <x:c r="E32" s="22" t="str">
        <x:v>サン・イシドロの祭りに結び付く輪形のロスキージャス。tontas、listasなど、名前と仕上げの異なる種類がある。一つの菓子をどう仕上げるか、売り場で見比べるのも楽しみ方の一つ。5月のマドリードを紹介するなら、街の行事と菓子売り場をつなぐ題材になる。</x:v>
      </x:c>
      <x:c r="F32" s="22" t="str">
        <x:v>対象写真候補あり（現行店・現地性は別確認）</x:v>
      </x:c>
      <x:c r="G32" s="22" t="str">
        <x:v>P018</x:v>
      </x:c>
      <x:c r="H32" s="22" t="str">
        <x:v>https://www.esmadrid.com/reposteria-tradicional
https://www.esmadrid.com/recetas-madrid
https://www.esmadrid.com/en/whats-on/sanisidro-madrid</x:v>
      </x:c>
    </x:row>
    <x:row r="33" ht="92" customHeight="1">
      <x:c r="A33" s="24" t="n">
        <x:v>29</x:v>
      </x:c>
      <x:c r="B33" s="24" t="str">
        <x:v>M066</x:v>
      </x:c>
      <x:c r="C33" s="24" t="str">
        <x:v>サン・アントンのパネシージョス</x:v>
      </x:c>
      <x:c r="D33" s="24" t="str">
        <x:v>Panecillos de San Antón</x:v>
      </x:c>
      <x:c r="E33" s="24" t="str">
        <x:v>サン・アントンのパネシージョスは、1月の祭りに結び付く小さな焼き菓子。チュロスや普段の菓子パンとは違い、食の暦を感じられる候補になる。名前のpanecillosだけから普通の食事パンと考えず、祭礼菓子として探したい。1月以外の販売を保証せず、必要なら店舗に品名を添えて問い合わせよう。</x:v>
      </x:c>
      <x:c r="F33" s="24" t="str">
        <x:v>対象写真候補あり（現行店・現地性は別確認）</x:v>
      </x:c>
      <x:c r="G33" s="24" t="str">
        <x:v>P036</x:v>
      </x:c>
      <x:c r="H33" s="24" t="str">
        <x:v>https://www.esmadrid.com/reposteria-tradicional</x:v>
      </x:c>
    </x:row>
    <x:row r="34" ht="92" customHeight="1">
      <x:c r="A34" s="22" t="n">
        <x:v>30</x:v>
      </x:c>
      <x:c r="B34" s="22" t="str">
        <x:v>M067</x:v>
      </x:c>
      <x:c r="C34" s="22" t="str">
        <x:v>コロナ・デ・ラ・アルムデナ</x:v>
      </x:c>
      <x:c r="D34" s="22" t="str">
        <x:v>Corona de la Almudena</x:v>
      </x:c>
      <x:c r="E34" s="22" t="str">
        <x:v>コロナ・デ・ラ・アルムデナは、11月9日の祝祭に結び付く冠形の菓子パン。市の紹介では1980年代に生まれたものとされ、古都の名物にも比較的新しい菓子があることが分かる。1月のロスコン・デ・レジェスと似た輪形でも同じ菓子ではない。アルムデナ大聖堂の紹介と一緒に読むと、場所の名前と季節の菓子がつながる。</x:v>
      </x:c>
      <x:c r="F34" s="22" t="str">
        <x:v>対象写真未確保</x:v>
      </x:c>
      <x:c r="G34" s="22" t="str"/>
      <x:c r="H34" s="22" t="str">
        <x:v>https://www.esmadrid.com/corona-almudena-madrid-receta-el-riojano
https://www.esmadrid.com/reposteria-tradicional</x:v>
      </x:c>
    </x:row>
    <x:row r="35" ht="92" customHeight="1">
      <x:c r="A35" s="24" t="n">
        <x:v>31</x:v>
      </x:c>
      <x:c r="B35" s="24" t="str">
        <x:v>M068</x:v>
      </x:c>
      <x:c r="C35" s="24" t="str">
        <x:v>ウエソス・デ・サント</x:v>
      </x:c>
      <x:c r="D35" s="24" t="str">
        <x:v>Huesos de santo</x:v>
      </x:c>
      <x:c r="E35" s="24" t="str">
        <x:v>ウエソス・デ・サントは、筒状のマジパンに甘い詰め物を入れる菓子。「聖人の骨」という名前と白い筒の姿が結び付き、秋の菓子売り場を紹介する題材になる。細長い揚げ菓子のウエソス・デ・サン・エスペディートとは別物。名前にhuesosが付いていても、生地も作り方も同じではない。</x:v>
      </x:c>
      <x:c r="F35" s="24" t="str">
        <x:v>対象写真候補あり（現行店・現地性は別確認）</x:v>
      </x:c>
      <x:c r="G35" s="24" t="str">
        <x:v>P041</x:v>
      </x:c>
      <x:c r="H35" s="24" t="str">
        <x:v>https://www.esmadrid.com/reposteria-tradicional</x:v>
      </x:c>
    </x:row>
    <x:row r="36" ht="92" customHeight="1">
      <x:c r="A36" s="22" t="n">
        <x:v>32</x:v>
      </x:c>
      <x:c r="B36" s="22" t="str">
        <x:v>M069</x:v>
      </x:c>
      <x:c r="C36" s="22" t="str">
        <x:v>ブニュエロス・デ・ビエント</x:v>
      </x:c>
      <x:c r="D36" s="22" t="str">
        <x:v>Buñuelos de viento</x:v>
      </x:c>
      <x:c r="E36" s="22" t="str">
        <x:v>ブニュエロス・デ・ビエントは、丸く揚げた生地の菓子。クリームを入れるものもあり、La Mallorquinaが協力する市のレシピにも登場する。丸い外見だけで中身を決めず、詰め物の種類を見て選びたい。一つに割ると、外からは見えない生地とクリームの組合せが分かる。</x:v>
      </x:c>
      <x:c r="F36" s="22" t="str">
        <x:v>対象写真候補あり（現行店・現地性は別確認）</x:v>
      </x:c>
      <x:c r="G36" s="22" t="str">
        <x:v>P014</x:v>
      </x:c>
      <x:c r="H36" s="22" t="str">
        <x:v>https://www.esmadrid.com/bu%C3%B1uelos-viento-madrid-la-mallorquina
https://www.esmadrid.com/reposteria-tradicional</x:v>
      </x:c>
    </x:row>
    <x:row r="37" ht="92" customHeight="1">
      <x:c r="A37" s="24" t="n">
        <x:v>33</x:v>
      </x:c>
      <x:c r="B37" s="24" t="str">
        <x:v>M070</x:v>
      </x:c>
      <x:c r="C37" s="24" t="str">
        <x:v>バルキージョス</x:v>
      </x:c>
      <x:c r="D37" s="24" t="str">
        <x:v>Barquillos</x:v>
      </x:c>
      <x:c r="E37" s="24" t="str">
        <x:v>バルキージョスは、薄い生地を巻いた筒状の焼き菓子。大きなクリーム菓子とは違う、軽い形の一品として選べる。マドリードの伝統菓子の紹介にも登場する。焼き菓子の形を見比べるなら、輪形、パイの層、筒形の違いに目を向けたい。</x:v>
      </x:c>
      <x:c r="F37" s="24" t="str">
        <x:v>対象写真候補あり（現行店・現地性は別確認）</x:v>
      </x:c>
      <x:c r="G37" s="24" t="str">
        <x:v>P007</x:v>
      </x:c>
      <x:c r="H37" s="24" t="str">
        <x:v>https://www.esmadrid.com/reposteria-tradicional</x:v>
      </x:c>
    </x:row>
    <x:row r="38" ht="92" customHeight="1">
      <x:c r="A38" s="22" t="n">
        <x:v>34</x:v>
      </x:c>
      <x:c r="B38" s="22" t="str">
        <x:v>M072</x:v>
      </x:c>
      <x:c r="C38" s="22" t="str">
        <x:v>ナポリターナ</x:v>
      </x:c>
      <x:c r="D38" s="22" t="str">
        <x:v>Napolitanas</x:v>
      </x:c>
      <x:c r="E38" s="22" t="str">
        <x:v>ナポリターナは、クリームやチョコレートなどを包む菓子パン。La Mallorquinaの公式商品一覧でも種類を探せる。ソル周辺で菓子店に入るなら、特別な祭礼を待たずに選べる日常の甘いものの候補だ。通販でのまとめ売り価格を店頭一個の価格と混同しないようにしたい。</x:v>
      </x:c>
      <x:c r="F38" s="22" t="str">
        <x:v>対象写真候補あり（現行店・現地性は別確認）</x:v>
      </x:c>
      <x:c r="G38" s="22" t="str">
        <x:v>P035</x:v>
      </x:c>
      <x:c r="H38" s="22" t="str">
        <x:v>https://pastelerialamallorquina.es/bolleria/
https://pastelerialamallorquina.es/</x:v>
      </x:c>
    </x:row>
    <x:row r="39" ht="92" customHeight="1">
      <x:c r="A39" s="24" t="n">
        <x:v>35</x:v>
      </x:c>
      <x:c r="B39" s="24" t="str">
        <x:v>M073</x:v>
      </x:c>
      <x:c r="C39" s="24" t="str">
        <x:v>モラタのパルメリタス</x:v>
      </x:c>
      <x:c r="D39" s="24" t="str">
        <x:v>Palmeritas de Morata</x:v>
      </x:c>
      <x:c r="E39" s="24" t="str">
        <x:v>モラタ・デ・タフーニャで知られる、小さなパルミエ形のパイ菓子。専門の製造販売元もあり、マドリード市中心だけでなく州内の町に目を向ける候補になる。チョコレートなど、表面の仕上げが違う商品も選ぶ手がかりになる。「モラタの名物」と「市内の全菓子店で買えるもの」は別なので、販売先を確かめよう。</x:v>
      </x:c>
      <x:c r="F39" s="24" t="str">
        <x:v>対象写真未確保</x:v>
      </x:c>
      <x:c r="G39" s="24" t="str"/>
      <x:c r="H39" s="24" t="str">
        <x:v>https://lapalmeritademorata.es/
https://www.esmadrid.com/reposteria-tradicional
https://www.esmadrid.com/de/traditionelle-konditorei-madrid</x:v>
      </x:c>
    </x:row>
    <x:row r="40" ht="92" customHeight="1">
      <x:c r="A40" s="22" t="n">
        <x:v>36</x:v>
      </x:c>
      <x:c r="B40" s="22" t="str">
        <x:v>M080</x:v>
      </x:c>
      <x:c r="C40" s="22" t="str">
        <x:v>スミレのキャンディー</x:v>
      </x:c>
      <x:c r="D40" s="22" t="str">
        <x:v>Caramelos de violeta</x:v>
      </x:c>
      <x:c r="E40" s="22" t="str">
        <x:v>スミレをかたどったキャンディーは、マドリードの甘い土産を探す候補。La Mallorquinaなどの販売情報から商品を探せる。花の形を選ぶ楽しみがあり、焼き菓子とは違う甘い土産になる。スミレを使う飲み物や菓子があっても、すべて同じ老舗・製造者のものだとは考えないようにしたい。</x:v>
      </x:c>
      <x:c r="F40" s="22" t="str">
        <x:v>対象写真未確保</x:v>
      </x:c>
      <x:c r="G40" s="22" t="str"/>
      <x:c r="H40" s="22" t="str">
        <x:v>https://www.esmadrid.com/limonada-violetas-diego-cabrera-madrid
https://pastelerialamallorquina.es/</x:v>
      </x:c>
    </x:row>
    <x:row r="41" ht="92" customHeight="1">
      <x:c r="A41" s="24" t="n">
        <x:v>37</x:v>
      </x:c>
      <x:c r="B41" s="24" t="str">
        <x:v>M082</x:v>
      </x:c>
      <x:c r="C41" s="24" t="str">
        <x:v>アルカラのコストラーダ</x:v>
      </x:c>
      <x:c r="D41" s="24" t="str">
        <x:v>Costrada de Alcalá</x:v>
      </x:c>
      <x:c r="E41" s="24" t="str">
        <x:v>コストラーダはアルカラ・デ・エナレスの菓子として市公式が紹介する一品。パイ生地、カスタード、メレンゲを重ねる構成で、全体の外観より断面の方が内容を伝えやすい。大学や旧市街の散策と組み合わせると、近郊の町を菓子から知る入口になる。誕生した年と最初の店には異なる説明があるため、ここでは一つに断定しない。</x:v>
      </x:c>
      <x:c r="F41" s="24" t="str">
        <x:v>対象写真候補あり（現行店・現地性は別確認）</x:v>
      </x:c>
      <x:c r="G41" s="24" t="str">
        <x:v>P042, P043</x:v>
      </x:c>
      <x:c r="H41" s="24" t="str">
        <x:v>https://elparaisodelosgolosos.blogspot.com/2023/07/costrada-de-alcala-de-henares.html
https://www.esmadrid.com/en/trips-alcala-henares
https://www.turismoalcala.es/gastronomia-restaurantes-alcala-de-henares/
https://bake-street.com/en/costrada-de-alcala-de-henares/
https://www.alcalahoy.es/2024/11/28/primer-concurso-de-la-costrada-patrimonio-gastronomico-de-alcala/</x:v>
      </x:c>
    </x:row>
    <x:row r="42" ht="92" customHeight="1">
      <x:c r="A42" s="22" t="n">
        <x:v>38</x:v>
      </x:c>
      <x:c r="B42" s="22" t="str">
        <x:v>M085</x:v>
      </x:c>
      <x:c r="C42" s="22" t="str">
        <x:v>イワシ形のチョコレート菓子</x:v>
      </x:c>
      <x:c r="D42" s="22" t="str">
        <x:v>Sardina de chocolate</x:v>
      </x:c>
      <x:c r="E42" s="22" t="str">
        <x:v>イワシ形のチョコレート菓子は、マドリードのカーニバルと結び付く甘味。市の2017年の発表で、公式デザートとして扱われたことを確認できる。魚の姿なのに甘い菓子、という外見だけでなく、古い祭りと新しく加わった菓子を分けて知ると面白い。発表当時の参加店が、現在も毎日販売するとは限らない。</x:v>
      </x:c>
      <x:c r="F42" s="22" t="str">
        <x:v>対象写真未確保</x:v>
      </x:c>
      <x:c r="G42" s="22" t="str"/>
      <x:c r="H42" s="22" t="str">
        <x:v>https://www.esmadrid.com/reposteria-tradicional
https://diario.madrid.es/blog/notas-de-prensa/madrid-ya-tiene-postre-oficial-para-el-carnaval/</x:v>
      </x:c>
    </x:row>
    <x:row r="43" ht="92" customHeight="1">
      <x:c r="A43" s="24" t="n">
        <x:v>39</x:v>
      </x:c>
      <x:c r="B43" s="24" t="str">
        <x:v>M098</x:v>
      </x:c>
      <x:c r="C43" s="24" t="str">
        <x:v>マドリードのDOワイン</x:v>
      </x:c>
      <x:c r="D43" s="24" t="str">
        <x:v>Vinos de Madrid DO</x:v>
      </x:c>
      <x:c r="E43" s="24" t="str">
        <x:v>Vinos de Madridは、マドリードの原産地呼称を持つワイン。首都のレストランで飲むワインのすべてが、この産地のものではない。地元の一杯を選びたいなら、店の所在地よりラベルの名称を見るのが確実な入口になる。料理との組合せは好みによるため、飲酒しない人が無理に選ぶ必要はない。</x:v>
      </x:c>
      <x:c r="F43" s="24" t="str">
        <x:v>対象写真未確保</x:v>
      </x:c>
      <x:c r="G43" s="24" t="str"/>
      <x:c r="H43" s="24" t="str">
        <x:v>https://gallinejasenriqueta.es/nuestra-carta-la-carta
https://www.comunidad.madrid/noticias/2026/03/03/comunidad-madrid-participa-13a-feria-internacional-aceite-oliva-productos-denominacion-origen-protegida
https://www.esmadrid.com/gastronomia-madrid</x:v>
      </x:c>
    </x:row>
    <x:row r="44" ht="92" customHeight="1">
      <x:c r="A44" s="22" t="n">
        <x:v>40</x:v>
      </x:c>
      <x:c r="B44" s="22" t="str">
        <x:v>M099</x:v>
      </x:c>
      <x:c r="C44" s="22" t="str">
        <x:v>チンチョンのアニス酒</x:v>
      </x:c>
      <x:c r="D44" s="22" t="str">
        <x:v>Anís de Chinchón</x:v>
      </x:c>
      <x:c r="E44" s="22" t="str">
        <x:v>チンチョンのアニス酒は、地名を伴う地理的表示で紹介される酒。近郊のチンチョンを訪れるなら、中央広場や周辺の店と合わせて土地の産品を知る候補になる。種類によって甘さやアルコール度数は異なるので、名前だけで同じものだと判断しないこと。車で訪れる場合は現地で飲まず、持ち帰りなど別の楽しみ方を選びたい。</x:v>
      </x:c>
      <x:c r="F44" s="22" t="str">
        <x:v>対象写真未確保</x:v>
      </x:c>
      <x:c r="G44" s="22" t="str"/>
      <x:c r="H44" s="22" t="str">
        <x:v>https://www.comunidad.madrid/noticias/2026/03/03/comunidad-madrid-participa-13a-feria-internacional-aceite-oliva-productos-denominacion-origen-protegida
https://www.esmadrid.com/en/chinchon</x:v>
      </x:c>
    </x:row>
    <x:row r="45">
      <x:c r="A45" s="6"/>
      <x:c r="B45" s="6"/>
      <x:c r="C45" s="6"/>
      <x:c r="D45" s="6"/>
      <x:c r="E45" s="6"/>
      <x:c r="F45" s="6"/>
      <x:c r="G45" s="6"/>
      <x:c r="H45" s="6"/>
    </x:row>
  </x:sheetData>
  <x:mergeCells>
    <x:mergeCell ref="A1:H1"/>
    <x:mergeCell ref="A2:H2"/>
  </x:mergeCells>
  <x:pageMargins left="0.7" right="0.7" top="0.75" bottom="0.75" header="0.3" footer="0.3"/>
  <x:tableParts count="1">
    <x:tablePart xmlns:r="http://schemas.openxmlformats.org/officeDocument/2006/relationships" r:id="Ra7fc706ec67444ed"/>
  </x:tableParts>
</x:worksheet>
</file>

<file path=xl/worksheets/sheet7.xml><?xml version="1.0" encoding="utf-8"?>
<x:worksheet xmlns:x="http://schemas.openxmlformats.org/spreadsheetml/2006/main">
  <x:sheetFormatPr defaultRowHeight="15"/>
  <x:cols>
    <x:col min="1" max="1" width="9" hidden="0" customWidth="1"/>
    <x:col min="2" max="2" width="35" hidden="0" customWidth="1"/>
    <x:col min="3" max="3" width="18" hidden="0" customWidth="1"/>
    <x:col min="4" max="4" width="40" hidden="0" customWidth="1"/>
    <x:col min="5" max="5" width="40" hidden="0" customWidth="1"/>
  </x:cols>
  <x:sheetData>
    <x:row r="1" ht="32" customHeight="1">
      <x:c r="A1" s="9" t="str">
        <x:v>公開前に残る確認</x:v>
      </x:c>
      <x:c r="B1" s="9"/>
      <x:c r="C1" s="9"/>
      <x:c r="D1" s="9"/>
      <x:c r="E1" s="9"/>
    </x:row>
    <x:row r="2" ht="32" customHeight="1">
      <x:c r="A2" s="13" t="str">
        <x:v>未確認事項を本文の断定で埋めないための一覧です。項目数15は写真未確保66項目とは別です。</x:v>
      </x:c>
      <x:c r="B2" s="13"/>
      <x:c r="C2" s="13"/>
      <x:c r="D2" s="13"/>
      <x:c r="E2" s="13"/>
    </x:row>
    <x:row r="3">
      <x:c r="A3" s="6"/>
      <x:c r="B3" s="6"/>
      <x:c r="C3" s="6"/>
      <x:c r="D3" s="6"/>
      <x:c r="E3" s="6"/>
    </x:row>
    <x:row r="4" ht="32" customHeight="1">
      <x:c r="A4" s="18" t="str">
        <x:v>ID</x:v>
      </x:c>
      <x:c r="B4" s="18" t="str">
        <x:v>対象</x:v>
      </x:c>
      <x:c r="C4" s="18" t="str">
        <x:v>確認段階</x:v>
      </x:c>
      <x:c r="D4" s="18" t="str">
        <x:v>問題</x:v>
      </x:c>
      <x:c r="E4" s="18" t="str">
        <x:v>次の確認</x:v>
      </x:c>
    </x:row>
    <x:row r="5" ht="92" customHeight="1">
      <x:c r="A5" s="24" t="str">
        <x:v>U01</x:v>
      </x:c>
      <x:c r="B5" s="24" t="str">
        <x:v>全記事</x:v>
      </x:c>
      <x:c r="C5" s="24" t="str">
        <x:v>公開前</x:v>
      </x:c>
      <x:c r="D5" s="24" t="str">
        <x:v>実食・訪問・取材をしていない</x:v>
      </x:c>
      <x:c r="E5" s="24" t="str">
        <x:v>一人称の味覚感想や訪問記へ書き換えない。紹介記事として編集する。</x:v>
      </x:c>
    </x:row>
    <x:row r="6" ht="92" customHeight="1">
      <x:c r="A6" s="22" t="str">
        <x:v>U02</x:v>
      </x:c>
      <x:c r="B6" s="22" t="str">
        <x:v>写真全件</x:v>
      </x:c>
      <x:c r="C6" s="22" t="str">
        <x:v>公開前</x:v>
      </x:c>
      <x:c r="D6" s="22" t="str">
        <x:v>原画像はローカル未保存、WP未アップロード</x:v>
      </x:c>
      <x:c r="E6" s="22" t="str">
        <x:v>原典とライセンスを保存し、画像実体を取得。使用分のみ被写体・権利・alt・クレジットを最終確認して取り込む。</x:v>
      </x:c>
    </x:row>
    <x:row r="7" ht="92" customHeight="1">
      <x:c r="A7" s="24" t="str">
        <x:v>U03</x:v>
      </x:c>
      <x:c r="B7" s="24" t="str">
        <x:v>M013,M025,M026,M030,M052,M083,M085,M088,M089,M091,M097</x:v>
      </x:c>
      <x:c r="C7" s="24" t="str">
        <x:v>店案内前</x:v>
      </x:c>
      <x:c r="D7" s="24" t="str">
        <x:v>具体的な現行販売・入荷・販売地の裏付けが弱い項目</x:v>
      </x:c>
      <x:c r="E7" s="24" t="str">
        <x:v>料理名を添えて公式メニューや販売店へ確認。未確認のまま店名・提供時間・価格を作らない。</x:v>
      </x:c>
    </x:row>
    <x:row r="8" ht="92" customHeight="1">
      <x:c r="A8" s="22" t="str">
        <x:v>U04</x:v>
      </x:c>
      <x:c r="B8" s="22" t="str">
        <x:v>M082</x:v>
      </x:c>
      <x:c r="C8" s="22" t="str">
        <x:v>歴史を書く前</x:v>
      </x:c>
      <x:c r="D8" s="22" t="str">
        <x:v>コストラーダの起源年・発明店の説明が一致しない</x:v>
      </x:c>
      <x:c r="E8" s="22" t="str">
        <x:v>概説では起源年と発明店を出さない。歴史記事にする場合は新聞・商業記録を調べる。</x:v>
      </x:c>
    </x:row>
    <x:row r="9" ht="92" customHeight="1">
      <x:c r="A9" s="24" t="str">
        <x:v>U05</x:v>
      </x:c>
      <x:c r="B9" s="24" t="str">
        <x:v>M088,M089,M091</x:v>
      </x:c>
      <x:c r="C9" s="24" t="str">
        <x:v>産地・認証表示前</x:v>
      </x:c>
      <x:c r="D9" s="24" t="str">
        <x:v>2026年2月の品質表示計画を登録済みと誤認しやすい</x:v>
      </x:c>
      <x:c r="E9" s="24" t="str">
        <x:v>登録機関の最新データで確認するまで、新たなDOP/IGP取得済みとは書かない。</x:v>
      </x:c>
    </x:row>
    <x:row r="10" ht="92" customHeight="1">
      <x:c r="A10" s="22" t="str">
        <x:v>U06</x:v>
      </x:c>
      <x:c r="B10" s="22" t="str">
        <x:v>P015,P045</x:v>
      </x:c>
      <x:c r="C10" s="22" t="str">
        <x:v>使用前</x:v>
      </x:c>
      <x:c r="D10" s="22" t="str">
        <x:v>目視未了</x:v>
      </x:c>
      <x:c r="E10" s="22" t="str">
        <x:v>画像実体で被写体と解像度を確認するまで使用候補に昇格しない。</x:v>
      </x:c>
    </x:row>
    <x:row r="11" ht="92" customHeight="1">
      <x:c r="A11" s="24" t="str">
        <x:v>U07</x:v>
      </x:c>
      <x:c r="B11" s="24" t="str">
        <x:v>P017,P031</x:v>
      </x:c>
      <x:c r="C11" s="24" t="str">
        <x:v>保留</x:v>
      </x:c>
      <x:c r="D11" s="24" t="str">
        <x:v>権利履歴または撮影地の矛盾</x:v>
      </x:c>
      <x:c r="E11" s="24" t="str">
        <x:v>原典の矛盾を解消できない限り不使用。別原典P041/P052を使う場合も別写真として扱う。</x:v>
      </x:c>
    </x:row>
    <x:row r="12" ht="92" customHeight="1">
      <x:c r="A12" s="22" t="str">
        <x:v>U08</x:v>
      </x:c>
      <x:c r="B12" s="22" t="str">
        <x:v>P046,P047,P048</x:v>
      </x:c>
      <x:c r="C12" s="22" t="str">
        <x:v>許諾待ち</x:v>
      </x:c>
      <x:c r="D12" s="22" t="str">
        <x:v>公式に掲載されているが転載許諾なし</x:v>
      </x:c>
      <x:c r="E12" s="22" t="str">
        <x:v>情報の参考に限る。許諾を得るか使用しない。</x:v>
      </x:c>
    </x:row>
    <x:row r="13" ht="92" customHeight="1">
      <x:c r="A13" s="24" t="str">
        <x:v>U09</x:v>
      </x:c>
      <x:c r="B13" s="24" t="str">
        <x:v>P049,P050</x:v>
      </x:c>
      <x:c r="C13" s="24" t="str">
        <x:v>除外</x:v>
      </x:c>
      <x:c r="D13" s="24" t="str">
        <x:v>非商用限定</x:v>
      </x:c>
      <x:c r="E13" s="24" t="str">
        <x:v>収益化サイトの画像に使わない。</x:v>
      </x:c>
    </x:row>
    <x:row r="14" ht="92" customHeight="1">
      <x:c r="A14" s="22" t="str">
        <x:v>U10</x:v>
      </x:c>
      <x:c r="B14" s="22" t="str">
        <x:v>P019,P020,P021,P025</x:v>
      </x:c>
      <x:c r="C14" s="22" t="str">
        <x:v>写真説明前</x:v>
      </x:c>
      <x:c r="D14" s="22" t="str">
        <x:v>部位・産地・調理法を写真だけでは特定できない</x:v>
      </x:c>
      <x:c r="E14" s="22" t="str">
        <x:v>P019はエントレシホスのみ。市場のチーズやオリーブをCampo Real品、鍋のチョリソーをシドラ煮と断定しない。</x:v>
      </x:c>
    </x:row>
    <x:row r="15" ht="92" customHeight="1">
      <x:c r="A15" s="24" t="str">
        <x:v>U11</x:v>
      </x:c>
      <x:c r="B15" s="24" t="str">
        <x:v>P032–P034,P042–P043</x:v>
      </x:c>
      <x:c r="C15" s="24" t="str">
        <x:v>写真配置前</x:v>
      </x:c>
      <x:c r="D15" s="24" t="str">
        <x:v>異なる日時・場所の写真</x:v>
      </x:c>
      <x:c r="E15" s="24" t="str">
        <x:v>一つの店の連続工程や、同じケーキの切断前後として配置しない。</x:v>
      </x:c>
    </x:row>
    <x:row r="16" ht="92" customHeight="1">
      <x:c r="A16" s="22" t="str">
        <x:v>U12</x:v>
      </x:c>
      <x:c r="B16" s="22" t="str">
        <x:v>L03,L04,L08–L10,L12,L14,L21,L23</x:v>
      </x:c>
      <x:c r="C16" s="22" t="str">
        <x:v>公開直前</x:v>
      </x:c>
      <x:c r="D16" s="22" t="str">
        <x:v>開館・工事・当日展示・予約条件は変わる</x:v>
      </x:c>
      <x:c r="E16" s="22" t="str">
        <x:v>施設公式で公開日の状態を再確認。L04は厨房ガイドと王宮入場を区別。L12の閉館、L23の再開は前回確認情報として日付を残す。</x:v>
      </x:c>
    </x:row>
    <x:row r="17" ht="92" customHeight="1">
      <x:c r="A17" s="24" t="str">
        <x:v>U13</x:v>
      </x:c>
      <x:c r="B17" s="24" t="str">
        <x:v>料理100項目</x:v>
      </x:c>
      <x:c r="C17" s="24" t="str">
        <x:v>構成</x:v>
      </x:c>
      <x:c r="D17" s="24" t="str">
        <x:v>料理・菓子・食材・飲み物・ブランド商品が混在</x:v>
      </x:c>
      <x:c r="E17" s="24" t="str">
        <x:v>100の地元発祥料理や100食分と呼ばない。味違いを分割して数を増やさず、料理100項目の編集母集団として使う。</x:v>
      </x:c>
    </x:row>
    <x:row r="18" ht="92" customHeight="1">
      <x:c r="A18" s="22" t="str">
        <x:v>U14</x:v>
      </x:c>
      <x:c r="B18" s="22" t="str">
        <x:v>M020,M025,M028,M038,M059,M094–M100</x:v>
      </x:c>
      <x:c r="C18" s="22" t="str">
        <x:v>紹介前</x:v>
      </x:c>
      <x:c r="D18" s="22" t="str">
        <x:v>野菜料理の魚介・肉、酒の有無を誤認しやすい</x:v>
      </x:c>
      <x:c r="E18" s="22" t="str">
        <x:v>potajeはタラ、詰め物・付け合わせにも動物性食材があり得る。limonada、sidraを自動的にノンアル扱いしない。</x:v>
      </x:c>
    </x:row>
    <x:row r="19" ht="92" customHeight="1">
      <x:c r="A19" s="24" t="str">
        <x:v>U15</x:v>
      </x:c>
      <x:c r="B19" s="24" t="str">
        <x:v>情報源</x:v>
      </x:c>
      <x:c r="C19" s="24" t="str">
        <x:v>執筆中</x:v>
      </x:c>
      <x:c r="D19" s="24" t="str">
        <x:v>同一公式サイトの多言語ページや同一レシピを独立証拠として水増ししやすい</x:v>
      </x:c>
      <x:c r="E19" s="24" t="str">
        <x:v>出典URL数と独立した取材・史料の数を区別。ソースの確認範囲を読む。</x:v>
      </x:c>
    </x:row>
    <x:row r="20">
      <x:c r="A20" s="6"/>
      <x:c r="B20" s="6"/>
      <x:c r="C20" s="6"/>
      <x:c r="D20" s="6"/>
      <x:c r="E20" s="6"/>
    </x:row>
  </x:sheetData>
  <x:mergeCells>
    <x:mergeCell ref="A1:E1"/>
    <x:mergeCell ref="A2:E2"/>
  </x:mergeCells>
  <x:pageMargins left="0.7" right="0.7" top="0.75" bottom="0.75" header="0.3" footer="0.3"/>
  <x:tableParts count="1">
    <x:tablePart xmlns:r="http://schemas.openxmlformats.org/officeDocument/2006/relationships" r:id="R68402ea5ef3c4907"/>
  </x:tableParts>
</x:worksheet>
</file>

<file path=xl/worksheets/sheet8.xml><?xml version="1.0" encoding="utf-8"?>
<x:worksheet xmlns:x="http://schemas.openxmlformats.org/spreadsheetml/2006/main">
  <x:sheetFormatPr defaultRowHeight="15"/>
  <x:cols>
    <x:col min="1" max="1" width="31" hidden="0" customWidth="1"/>
    <x:col min="2" max="2" width="32" hidden="0" customWidth="1"/>
    <x:col min="3" max="3" width="23" hidden="0" customWidth="1"/>
    <x:col min="4" max="4" width="40" hidden="0" customWidth="1"/>
    <x:col min="5" max="5" width="22" hidden="0" customWidth="1"/>
    <x:col min="6" max="6" width="40" hidden="0" customWidth="1"/>
  </x:cols>
  <x:sheetData>
    <x:row r="1" ht="32" customHeight="1">
      <x:c r="A1" s="9" t="str">
        <x:v>季節の食</x:v>
      </x:c>
      <x:c r="B1" s="9"/>
      <x:c r="C1" s="9"/>
      <x:c r="D1" s="9"/>
      <x:c r="E1" s="9"/>
      <x:c r="F1" s="9"/>
    </x:row>
    <x:row r="2" ht="32" customHeight="1">
      <x:c r="A2" s="13" t="str">
        <x:v>行事日と販売期間は別。2027年の確定したイベント日程ではありません。</x:v>
      </x:c>
      <x:c r="B2" s="13"/>
      <x:c r="C2" s="13"/>
      <x:c r="D2" s="13"/>
      <x:c r="E2" s="13"/>
      <x:c r="F2" s="13"/>
    </x:row>
    <x:row r="3">
      <x:c r="A3" s="6"/>
      <x:c r="B3" s="6"/>
      <x:c r="C3" s="6"/>
      <x:c r="D3" s="6"/>
      <x:c r="E3" s="6"/>
      <x:c r="F3" s="6"/>
    </x:row>
    <x:row r="4" ht="32" customHeight="1">
      <x:c r="A4" s="18" t="str">
        <x:v>時期</x:v>
      </x:c>
      <x:c r="B4" s="18" t="str">
        <x:v>料理等</x:v>
      </x:c>
      <x:c r="C4" s="18" t="str">
        <x:v>元ID</x:v>
      </x:c>
      <x:c r="D4" s="18" t="str">
        <x:v>注意</x:v>
      </x:c>
      <x:c r="E4" s="18" t="str">
        <x:v>出典ID</x:v>
      </x:c>
      <x:c r="F4" s="18" t="str">
        <x:v>出典URL</x:v>
      </x:c>
    </x:row>
    <x:row r="5" ht="92" customHeight="1">
      <x:c r="A5" s="24" t="str">
        <x:v>1月上旬</x:v>
      </x:c>
      <x:c r="B5" s="24" t="str">
        <x:v>ロスコン・デ・レジェス</x:v>
      </x:c>
      <x:c r="C5" s="24" t="str">
        <x:v>M071</x:v>
      </x:c>
      <x:c r="D5" s="24" t="str">
        <x:v>1月6日の祝祭と結び付ける。販売期間は店ごとに確認。</x:v>
      </x:c>
      <x:c r="E5" s="24" t="str">
        <x:v>S02</x:v>
      </x:c>
      <x:c r="F5" s="24" t="str">
        <x:v>https://www.esmadrid.com/reposteria-tradicional</x:v>
      </x:c>
    </x:row>
    <x:row r="6" ht="92" customHeight="1">
      <x:c r="A6" s="22" t="str">
        <x:v>1月17日前後</x:v>
      </x:c>
      <x:c r="B6" s="22" t="str">
        <x:v>パネシージョス・デ・サン・アントン</x:v>
      </x:c>
      <x:c r="C6" s="22" t="str">
        <x:v>M066</x:v>
      </x:c>
      <x:c r="D6" s="22" t="str">
        <x:v>同名市場で必ず売るとはしない。6月のSan Antonioとは別。</x:v>
      </x:c>
      <x:c r="E6" s="22" t="str">
        <x:v>S02</x:v>
      </x:c>
      <x:c r="F6" s="22" t="str">
        <x:v>https://www.esmadrid.com/reposteria-tradicional</x:v>
      </x:c>
    </x:row>
    <x:row r="7" ht="92" customHeight="1">
      <x:c r="A7" s="24" t="str">
        <x:v>カーニバル期</x:v>
      </x:c>
      <x:c r="B7" s="24" t="str">
        <x:v>サルディーナ・デ・チョコラテ</x:v>
      </x:c>
      <x:c r="C7" s="24" t="str">
        <x:v>M085</x:v>
      </x:c>
      <x:c r="D7" s="24" t="str">
        <x:v>2017年の成立資料あり。年ごとの販売企画・取扱店は未確認。</x:v>
      </x:c>
      <x:c r="E7" s="24" t="str">
        <x:v>S69</x:v>
      </x:c>
      <x:c r="F7" s="24" t="str">
        <x:v>https://diario.madrid.es/blog/notas-de-prensa/madrid-ya-tiene-postre-oficial-para-el-carnaval/</x:v>
      </x:c>
    </x:row>
    <x:row r="8" ht="92" customHeight="1">
      <x:c r="A8" s="22" t="str">
        <x:v>聖週間前後</x:v>
      </x:c>
      <x:c r="B8" s="22" t="str">
        <x:v>トリハス／ポタヘ・デ・ビヒリア</x:v>
      </x:c>
      <x:c r="C8" s="22" t="str">
        <x:v>M063,M020</x:v>
      </x:c>
      <x:c r="D8" s="22" t="str">
        <x:v>祝日は年で移動する。料理を実際に提供する日を予約時に聞く。</x:v>
      </x:c>
      <x:c r="E8" s="22" t="str">
        <x:v>S02,S01</x:v>
      </x:c>
      <x:c r="F8" s="22" t="str">
        <x:v>https://www.esmadrid.com/reposteria-tradicional
https://www.esmadrid.com/de/madrider-gastronomie</x:v>
      </x:c>
    </x:row>
    <x:row r="9" ht="92" customHeight="1">
      <x:c r="A9" s="24" t="str">
        <x:v>5月15日前後</x:v>
      </x:c>
      <x:c r="B9" s="24" t="str">
        <x:v>サン・イシドロのロスキージャ</x:v>
      </x:c>
      <x:c r="C9" s="24" t="str">
        <x:v>M065</x:v>
      </x:c>
      <x:c r="D9" s="24" t="str">
        <x:v>tontas・listasなどの違いをひとつの項目内で紹介。</x:v>
      </x:c>
      <x:c r="E9" s="24" t="str">
        <x:v>S02,S29</x:v>
      </x:c>
      <x:c r="F9" s="24" t="str">
        <x:v>https://www.esmadrid.com/reposteria-tradicional
https://www.esmadrid.com/en/whats-on/sanisidro-madrid</x:v>
      </x:c>
    </x:row>
    <x:row r="10" ht="92" customHeight="1">
      <x:c r="A10" s="22" t="str">
        <x:v>春（アスパラガス）／イチゴは品種・入荷確認</x:v>
      </x:c>
      <x:c r="B10" s="22" t="str">
        <x:v>アランフエスのイチゴ・アスパラガス</x:v>
      </x:c>
      <x:c r="C10" s="22" t="str">
        <x:v>M088,M089</x:v>
      </x:c>
      <x:c r="D10" s="22" t="str">
        <x:v>緑アスパラガスは生産者が春の旬と説明。小さいfresaとfresónを区別し、販売時に産地を確認。</x:v>
      </x:c>
      <x:c r="E10" s="22" t="str">
        <x:v>S76,S77</x:v>
      </x:c>
      <x:c r="F10" s="22" t="str">
        <x:v>https://www.fresasdearanjuez.es/
https://delahuertadearanjuez.es/esparrago-de-aranjuez/</x:v>
      </x:c>
    </x:row>
    <x:row r="11" ht="92" customHeight="1">
      <x:c r="A11" s="24" t="str">
        <x:v>11月1日前後</x:v>
      </x:c>
      <x:c r="B11" s="24" t="str">
        <x:v>ウエソス・デ・サント／ブニュエロス</x:v>
      </x:c>
      <x:c r="C11" s="24" t="str">
        <x:v>M068,M069</x:v>
      </x:c>
      <x:c r="D11" s="24" t="str">
        <x:v>色やクリームの違いで別料理の数を増やさない。</x:v>
      </x:c>
      <x:c r="E11" s="24" t="str">
        <x:v>S02,S21</x:v>
      </x:c>
      <x:c r="F11" s="24" t="str">
        <x:v>https://www.esmadrid.com/reposteria-tradicional
https://www.esmadrid.com/bu%C3%B1uelos-viento-madrid-la-mallorquina</x:v>
      </x:c>
    </x:row>
    <x:row r="12" ht="92" customHeight="1">
      <x:c r="A12" s="22" t="str">
        <x:v>11月9日前後</x:v>
      </x:c>
      <x:c r="B12" s="22" t="str">
        <x:v>コロナ・デ・ラ・アルムデナ</x:v>
      </x:c>
      <x:c r="C12" s="22" t="str">
        <x:v>M067</x:v>
      </x:c>
      <x:c r="D12" s="22" t="str">
        <x:v>大聖堂と菓子を結ぶ。1980年代の新しい名物という説明。</x:v>
      </x:c>
      <x:c r="E12" s="22" t="str">
        <x:v>S02,S20</x:v>
      </x:c>
      <x:c r="F12" s="22" t="str">
        <x:v>https://www.esmadrid.com/reposteria-tradicional
https://www.esmadrid.com/corona-almudena-madrid-receta-el-riojano</x:v>
      </x:c>
    </x:row>
    <x:row r="13" ht="92" customHeight="1">
      <x:c r="A13" s="24" t="str">
        <x:v>クリスマス期</x:v>
      </x:c>
      <x:c r="B13" s="24" t="str">
        <x:v>トゥロン／マサパン／ポルボロン</x:v>
      </x:c>
      <x:c r="C13" s="24" t="str">
        <x:v>M077,M078,M079</x:v>
      </x:c>
      <x:c r="D13" s="24" t="str">
        <x:v>スペイン全体の菓子として区別。首都の老舗で買う体験として紹介。</x:v>
      </x:c>
      <x:c r="E13" s="24" t="str">
        <x:v>S02,S32</x:v>
      </x:c>
      <x:c r="F13" s="24" t="str">
        <x:v>https://www.esmadrid.com/reposteria-tradicional
https://www.esmadrid.com/de/traditionelle-konditorei-madrid</x:v>
      </x:c>
    </x:row>
    <x:row r="14">
      <x:c r="A14" s="6"/>
      <x:c r="B14" s="6"/>
      <x:c r="C14" s="6"/>
      <x:c r="D14" s="6"/>
      <x:c r="E14" s="6"/>
      <x:c r="F14" s="6"/>
    </x:row>
  </x:sheetData>
  <x:mergeCells>
    <x:mergeCell ref="A1:F1"/>
    <x:mergeCell ref="A2:F2"/>
  </x:mergeCells>
  <x:pageMargins left="0.7" right="0.7" top="0.75" bottom="0.75" header="0.3" footer="0.3"/>
  <x:tableParts count="1">
    <x:tablePart xmlns:r="http://schemas.openxmlformats.org/officeDocument/2006/relationships" r:id="Rfdfd3a8edfc14227"/>
  </x:tableParts>
</x:worksheet>
</file>

<file path=xl/worksheets/sheet9.xml><?xml version="1.0" encoding="utf-8"?>
<x:worksheet xmlns:x="http://schemas.openxmlformats.org/spreadsheetml/2006/main">
  <x:sheetFormatPr defaultRowHeight="15"/>
  <x:cols>
    <x:col min="1" max="1" width="10" hidden="0" customWidth="1"/>
    <x:col min="2" max="2" width="10" hidden="0" customWidth="1"/>
    <x:col min="3" max="3" width="32" hidden="0" customWidth="1"/>
    <x:col min="4" max="4" width="40" hidden="0" customWidth="1"/>
    <x:col min="5" max="5" width="40" hidden="0" customWidth="1"/>
    <x:col min="6" max="6" width="40" hidden="0" customWidth="1"/>
  </x:cols>
  <x:sheetData>
    <x:row r="1" ht="32" customHeight="1">
      <x:c r="A1" s="9" t="str">
        <x:v>初稿の写真配置案 23件</x:v>
      </x:c>
      <x:c r="B1" s="9"/>
      <x:c r="C1" s="9"/>
      <x:c r="D1" s="9"/>
      <x:c r="E1" s="9"/>
      <x:c r="F1" s="9"/>
    </x:row>
    <x:row r="2" ht="32" customHeight="1">
      <x:c r="A2" s="13" t="str">
        <x:v>同じ写真の使い回しで枚数を増やしていません。全100項目の写真充足を意味しません。</x:v>
      </x:c>
      <x:c r="B2" s="13"/>
      <x:c r="C2" s="13"/>
      <x:c r="D2" s="13"/>
      <x:c r="E2" s="13"/>
      <x:c r="F2" s="13"/>
    </x:row>
    <x:row r="3">
      <x:c r="A3" s="6"/>
      <x:c r="B3" s="6"/>
      <x:c r="C3" s="6"/>
      <x:c r="D3" s="6"/>
      <x:c r="E3" s="6"/>
      <x:c r="F3" s="6"/>
    </x:row>
    <x:row r="4" ht="32" customHeight="1">
      <x:c r="A4" s="18" t="str">
        <x:v>料理ID</x:v>
      </x:c>
      <x:c r="B4" s="18" t="str">
        <x:v>写真ID</x:v>
      </x:c>
      <x:c r="C4" s="18" t="str">
        <x:v>役割</x:v>
      </x:c>
      <x:c r="D4" s="18" t="str">
        <x:v>クレジット</x:v>
      </x:c>
      <x:c r="E4" s="18" t="str">
        <x:v>写真説明の注意</x:v>
      </x:c>
      <x:c r="F4" s="18" t="str">
        <x:v>原典URL</x:v>
      </x:c>
    </x:row>
    <x:row r="5" ht="92" customHeight="1">
      <x:c r="A5" s="24" t="str">
        <x:v>M011</x:v>
      </x:c>
      <x:c r="B5" s="24" t="str">
        <x:v>P012</x:v>
      </x:c>
      <x:c r="C5" s="24" t="str">
        <x:v>導入直後・イカサンドの例</x:v>
      </x:c>
      <x:c r="D5" s="24" t="str">
        <x:v>Cecilia (Velcro.) / CC BY 2.0 / Wikimedia Commons</x:v>
      </x:c>
      <x:c r="E5" s="24" t="str">
        <x:v>Flickr原典: https://www.flickr.com/photos/7666989@N04/3623295060/ 。全てのイカサンドにこのソースが入るわけではない。</x:v>
      </x:c>
      <x:c r="F5" s="24" t="str">
        <x:v>https://commons.wikimedia.org/wiki/File:Bocata_de_calamares_con_salsa_brava_%28Madrid%29.jpg</x:v>
      </x:c>
    </x:row>
    <x:row r="6" ht="92" customHeight="1">
      <x:c r="A6" s="22" t="str">
        <x:v>M001</x:v>
      </x:c>
      <x:c r="B6" s="22" t="str">
        <x:v>P003</x:v>
      </x:c>
      <x:c r="C6" s="22" t="str">
        <x:v>コシードの具</x:v>
      </x:c>
      <x:c r="D6" s="22" t="str">
        <x:v>Javier Lastras (jlastras) / CC BY 2.0 / Wikimedia Commons</x:v>
      </x:c>
      <x:c r="E6" s="22" t="str">
        <x:v>Flickr原典: https://www.flickr.com/photos/jlastras/3077335981/sizes/o/</x:v>
      </x:c>
      <x:c r="F6" s="22" t="str">
        <x:v>https://commons.wikimedia.org/wiki/File:Detalle_Cocido_Madrile%C3%B1o.jpg</x:v>
      </x:c>
    </x:row>
    <x:row r="7" ht="92" customHeight="1">
      <x:c r="A7" s="24" t="str">
        <x:v>M002</x:v>
      </x:c>
      <x:c r="B7" s="24" t="str">
        <x:v>P002</x:v>
      </x:c>
      <x:c r="C7" s="24" t="str">
        <x:v>カジョスの調理</x:v>
      </x:c>
      <x:c r="D7" s="24" t="str">
        <x:v>Javier Lastras / CC BY 2.0 / Wikimedia Commons</x:v>
      </x:c>
      <x:c r="E7" s="24" t="str">
        <x:v>Flickr原典: https://www.flickr.com/photos/22662305@N04/4260029628/</x:v>
      </x:c>
      <x:c r="F7" s="24" t="str">
        <x:v>https://commons.wikimedia.org/wiki/File:Callos_cociendose.jpg</x:v>
      </x:c>
    </x:row>
    <x:row r="8" ht="92" customHeight="1">
      <x:c r="A8" s="22" t="str">
        <x:v>M003</x:v>
      </x:c>
      <x:c r="B8" s="22" t="str">
        <x:v>P019</x:v>
      </x:c>
      <x:c r="C8" s="22" t="str">
        <x:v>エントレシホスのみ</x:v>
      </x:c>
      <x:c r="D8" s="22" t="str">
        <x:v>Tamorlan / CC BY-SA 3.0 / Wikimedia Commons</x:v>
      </x:c>
      <x:c r="E8" s="22" t="str">
        <x:v>ガリネハスとの混同を避け、エントレシホスとして表示。現在の祭り会場写真とはしない。</x:v>
      </x:c>
      <x:c r="F8" s="22" t="str">
        <x:v>https://commons.wikimedia.org/wiki/File:Entresijos_-_Paloma_de_2012.JPG</x:v>
      </x:c>
    </x:row>
    <x:row r="9" ht="92" customHeight="1">
      <x:c r="A9" s="24" t="str">
        <x:v>M006</x:v>
      </x:c>
      <x:c r="B9" s="24" t="str">
        <x:v>P051</x:v>
      </x:c>
      <x:c r="C9" s="24" t="str">
        <x:v>棒に巻く形の参考</x:v>
      </x:c>
      <x:c r="D9" s="24" t="str">
        <x:v>Tamorlan / Wikimedia Commons / CC BY-SA 3.0（変更する場合は内容を追記）</x:v>
      </x:c>
      <x:c r="E9" s="24" t="str">
        <x:v>ケース内の成形品。揚げたての完成皿、Casa Enriquetaの現行商品とは説明しない。</x:v>
      </x:c>
      <x:c r="F9" s="24" t="str">
        <x:v>https://commons.wikimedia.org/wiki/File:Zarajos.jpg</x:v>
      </x:c>
    </x:row>
    <x:row r="10" ht="92" customHeight="1">
      <x:c r="A10" s="22" t="str">
        <x:v>M007</x:v>
      </x:c>
      <x:c r="B10" s="22" t="str">
        <x:v>P038</x:v>
      </x:c>
      <x:c r="C10" s="22" t="str">
        <x:v>耳の鉄板料理</x:v>
      </x:c>
      <x:c r="D10" s="22" t="str">
        <x:v>Tamorlan / CC BY 3.0 / 原典ページを併記</x:v>
      </x:c>
      <x:c r="E10" s="22" t="str">
        <x:v>古い料理写真。現在の盛り付け・営業・メニューの証拠にはしない。作者表示、出典・ライセンスリンク、加工表示が必要。</x:v>
      </x:c>
      <x:c r="F10" s="22" t="str">
        <x:v>https://commons.wikimedia.org/wiki/File:Oreja_a_la_plancha-Oreja_de_Oro.jpg</x:v>
      </x:c>
    </x:row>
    <x:row r="11" ht="92" customHeight="1">
      <x:c r="A11" s="24" t="str">
        <x:v>M009</x:v>
      </x:c>
      <x:c r="B11" s="24" t="str">
        <x:v>P013</x:v>
      </x:c>
      <x:c r="C11" s="24" t="str">
        <x:v>カタツムリ</x:v>
      </x:c>
      <x:c r="D11" s="24" t="str">
        <x:v>Tamorlan / CC BY 3.0 / Wikimedia Commons</x:v>
      </x:c>
      <x:c r="E11" s="24" t="str">
        <x:v>2011年アップロード。現在の販売状況の証拠にはしない。</x:v>
      </x:c>
      <x:c r="F11" s="24" t="str">
        <x:v>https://commons.wikimedia.org/wiki/File:Caracoles_Madrile%C3%B1a_-_2011.JPG</x:v>
      </x:c>
    </x:row>
    <x:row r="12" ht="92" customHeight="1">
      <x:c r="A12" s="22" t="str">
        <x:v>M010</x:v>
      </x:c>
      <x:c r="B12" s="22" t="str">
        <x:v>P010</x:v>
      </x:c>
      <x:c r="C12" s="22" t="str">
        <x:v>ペピトリアの記録写真</x:v>
      </x:c>
      <x:c r="D12" s="22" t="str">
        <x:v>Tamorlan / CC BY-SA 3.0 / Wikimedia Commons</x:v>
      </x:c>
      <x:c r="E12" s="22" t="str">
        <x:v>店名・位置を原典で確認。現在の盛り付けと同一とは限らない。</x:v>
      </x:c>
      <x:c r="F12" s="22" t="str">
        <x:v>https://commons.wikimedia.org/wiki/File:Gallina_en_Pepitoria_%28Ciriaco%29.JPG</x:v>
      </x:c>
    </x:row>
    <x:row r="13" ht="92" customHeight="1">
      <x:c r="A13" s="24" t="str">
        <x:v>M012</x:v>
      </x:c>
      <x:c r="B13" s="24" t="str">
        <x:v>P005</x:v>
      </x:c>
      <x:c r="C13" s="24" t="str">
        <x:v>タラの衣揚げ</x:v>
      </x:c>
      <x:c r="D13" s="24" t="str">
        <x:v>Tamorlan／色調整 Diádoco / CC BY 3.0 / Wikimedia Commons</x:v>
      </x:c>
      <x:c r="E13" s="24" t="str">
        <x:v>原典は赤ピーマンがない点を説明。Casa Labraの品／ソルダディートスと断定しない。</x:v>
      </x:c>
      <x:c r="F13" s="24" t="str">
        <x:v>https://commons.wikimedia.org/wiki/File:Bacalao_Rebozado_-_Madrid.jpg</x:v>
      </x:c>
    </x:row>
    <x:row r="14" ht="92" customHeight="1">
      <x:c r="A14" s="22" t="str">
        <x:v>M021</x:v>
      </x:c>
      <x:c r="B14" s="22" t="str">
        <x:v>P052</x:v>
      </x:c>
      <x:c r="C14" s="22" t="str">
        <x:v>ブラバスの代替原典</x:v>
      </x:c>
      <x:c r="D14" s="22" t="str">
        <x:v>Tamorlan / Wikimedia Commons / CC BY 3.0（変更する場合は内容を追記）</x:v>
      </x:c>
      <x:c r="E14" s="22" t="str">
        <x:v>P031とは別原典。赤い外観だけでトマト／ケチャップ入りと断定しない。やや暗めなので明るさ調整時は変更を明記する。 原画像リンクは原典に存在するが、この環境では原画像の読み込みがタイムアウト。目視は1280pxプレビューで実施。</x:v>
      </x:c>
      <x:c r="F14" s="22" t="str">
        <x:v>https://commons.wikimedia.org/wiki/File:Patatas_bravas-Lavapies.jpg</x:v>
      </x:c>
    </x:row>
    <x:row r="15" ht="92" customHeight="1">
      <x:c r="A15" s="24" t="str">
        <x:v>M022</x:v>
      </x:c>
      <x:c r="B15" s="24" t="str">
        <x:v>P027</x:v>
      </x:c>
      <x:c r="C15" s="24" t="str">
        <x:v>ハムのクロケタ</x:v>
      </x:c>
      <x:c r="D15" s="24" t="str">
        <x:v>La Cesta Bar Restaurante / CC BY 2.0 / Wikimedia Commons</x:v>
      </x:c>
      <x:c r="E15" s="24" t="str">
        <x:v>店の現在営業や現在の商品を示す写真ではない。コシード入りクロケタへの流用不可。</x:v>
      </x:c>
      <x:c r="F15" s="24" t="str">
        <x:v>https://commons.wikimedia.org/wiki/File:Croquetas_de_jam%C3%B3n_-_lacestabar.jpg</x:v>
      </x:c>
    </x:row>
    <x:row r="16" ht="92" customHeight="1">
      <x:c r="A16" s="22" t="str">
        <x:v>M024</x:v>
      </x:c>
      <x:c r="B16" s="22" t="str">
        <x:v>P029</x:v>
      </x:c>
      <x:c r="C16" s="22" t="str">
        <x:v>エビ料理</x:v>
      </x:c>
      <x:c r="D16" s="22" t="str">
        <x:v>SKaRCHa / CC BY-SA 2.0 / Wikimedia Commons</x:v>
      </x:c>
      <x:c r="E16" s="22" t="str">
        <x:v>低解像度のため小さな補助写真向き。Casa del Abuelo撮影と断定しない。</x:v>
      </x:c>
      <x:c r="F16" s="22" t="str">
        <x:v>https://commons.wikimedia.org/wiki/File:GambasAjillo.jpg</x:v>
      </x:c>
    </x:row>
    <x:row r="17" ht="92" customHeight="1">
      <x:c r="A17" s="24" t="str">
        <x:v>M026</x:v>
      </x:c>
      <x:c r="B17" s="24" t="str">
        <x:v>P008</x:v>
      </x:c>
      <x:c r="C17" s="24" t="str">
        <x:v>酢漬けの魚</x:v>
      </x:c>
      <x:c r="D17" s="24" t="str">
        <x:v>Tamorlan / CC BY 3.0 / Wikimedia Commons</x:v>
      </x:c>
      <x:c r="E17" s="24" t="str">
        <x:v>撮影日未記載。2009年アップロード。暗さと色かぶりは軽微調整可。</x:v>
      </x:c>
      <x:c r="F17" s="24" t="str">
        <x:v>https://commons.wikimedia.org/wiki/File:Boquerones_en_vinagre-Madrid.jpg</x:v>
      </x:c>
    </x:row>
    <x:row r="18" ht="92" customHeight="1">
      <x:c r="A18" s="22" t="str">
        <x:v>M028</x:v>
      </x:c>
      <x:c r="B18" s="22" t="str">
        <x:v>P006</x:v>
      </x:c>
      <x:c r="C18" s="22" t="str">
        <x:v>漬物の串</x:v>
      </x:c>
      <x:c r="D18" s="22" t="str">
        <x:v>Tamorlan／調整 Takeaway / CC BY-SA 3.0 / Wikimedia Commons</x:v>
      </x:c>
      <x:c r="E18" s="22" t="str">
        <x:v>現行版は光量・コントラスト・彩度の変更あり。加工版を使う際もBY-SA表記。</x:v>
      </x:c>
      <x:c r="F18" s="22" t="str">
        <x:v>https://commons.wikimedia.org/wiki/File:Banderillas_de_encurtidos.jpg</x:v>
      </x:c>
    </x:row>
    <x:row r="19" ht="92" customHeight="1">
      <x:c r="A19" s="24" t="str">
        <x:v>M040</x:v>
      </x:c>
      <x:c r="B19" s="24" t="str">
        <x:v>P004</x:v>
      </x:c>
      <x:c r="C19" s="24" t="str">
        <x:v>塩味パイ</x:v>
      </x:c>
      <x:c r="D19" s="24" t="str">
        <x:v>Tamorlan / CC BY 3.0 / Wikimedia Commons</x:v>
      </x:c>
      <x:c r="E19" s="24" t="str">
        <x:v>古い店舗写真。2009年の記録として使う。少し明るさを整える余地あり。</x:v>
      </x:c>
      <x:c r="F19" s="24" t="str">
        <x:v>https://commons.wikimedia.org/wiki/File:Aguja_de_ternera-Madrid_%28Mallorquina%29.jpg</x:v>
      </x:c>
    </x:row>
    <x:row r="20" ht="92" customHeight="1">
      <x:c r="A20" s="22" t="str">
        <x:v>M061</x:v>
      </x:c>
      <x:c r="B20" s="22" t="str">
        <x:v>P026</x:v>
      </x:c>
      <x:c r="C20" s="22" t="str">
        <x:v>チュロス・ポラス・チョコレートの組合せ</x:v>
      </x:c>
      <x:c r="D20" s="22" t="str">
        <x:v>WeI-chieh Chiu / CC BY-SA 2.0 / Wikimedia Commons</x:v>
      </x:c>
      <x:c r="E20" s="22" t="str">
        <x:v>組み合わせが分かる。写真当時の注文例であり現在のセット内容の証明ではない。</x:v>
      </x:c>
      <x:c r="F20" s="22" t="str">
        <x:v>https://commons.wikimedia.org/wiki/File:Chocolater%C3%ADa_San_Gin%C3%A9s_%2810512648395%29.jpg</x:v>
      </x:c>
    </x:row>
    <x:row r="21" ht="92" customHeight="1">
      <x:c r="A21" s="24" t="str">
        <x:v>M063</x:v>
      </x:c>
      <x:c r="B21" s="24" t="str">
        <x:v>P039</x:v>
      </x:c>
      <x:c r="C21" s="24" t="str">
        <x:v>トリハス</x:v>
      </x:c>
      <x:c r="D21" s="24" t="str">
        <x:v>Tamorlan / CC BY-SA 3.0 / 原典ページを併記</x:v>
      </x:c>
      <x:c r="E21" s="24" t="str">
        <x:v>写真内の値札を現在価格として使わない。CC BY-SAの継承条件、作者・出典・ライセンス表示、加工表示を確認。</x:v>
      </x:c>
      <x:c r="F21" s="24" t="str">
        <x:v>https://commons.wikimedia.org/wiki/File:Torrijas_(Malloquina).jpg</x:v>
      </x:c>
    </x:row>
    <x:row r="22" ht="92" customHeight="1">
      <x:c r="A22" s="22" t="str">
        <x:v>M064</x:v>
      </x:c>
      <x:c r="B22" s="22" t="str">
        <x:v>P032</x:v>
      </x:c>
      <x:c r="C22" s="22" t="str">
        <x:v>完成したバルトリージョ</x:v>
      </x:c>
      <x:c r="D22" s="22" t="str">
        <x:v>Tamorlan / CC BY 3.0 / Wikimedia Commons</x:v>
      </x:c>
      <x:c r="E22" s="22" t="str">
        <x:v>撮影日はEXIF。現在の店頭商品写真ではない。</x:v>
      </x:c>
      <x:c r="F22" s="22" t="str">
        <x:v>https://commons.wikimedia.org/wiki/File:Bartolillos_de_crema_%28La_Mallorquina%29.jpg</x:v>
      </x:c>
    </x:row>
    <x:row r="23" ht="92" customHeight="1">
      <x:c r="A23" s="24" t="str">
        <x:v>M065</x:v>
      </x:c>
      <x:c r="B23" s="24" t="str">
        <x:v>P018</x:v>
      </x:c>
      <x:c r="C23" s="24" t="str">
        <x:v>輪形菓子</x:v>
      </x:c>
      <x:c r="D23" s="24" t="str">
        <x:v>Tamorlan / CC BY 3.0 / Wikimedia Commons</x:v>
      </x:c>
      <x:c r="E23" s="24" t="str">
        <x:v>ロスキージャス・デル・サントとの原典説明。白い衣だけで品種や味を断定しない。</x:v>
      </x:c>
      <x:c r="F23" s="24" t="str">
        <x:v>https://commons.wikimedia.org/wiki/File:Apilamiento_de_Rosquillas-2011.JPG</x:v>
      </x:c>
    </x:row>
    <x:row r="24" ht="92" customHeight="1">
      <x:c r="A24" s="22" t="str">
        <x:v>M068</x:v>
      </x:c>
      <x:c r="B24" s="22" t="str">
        <x:v>P041</x:v>
      </x:c>
      <x:c r="C24" s="22" t="str">
        <x:v>権利保留の別写真に代わる候補</x:v>
      </x:c>
      <x:c r="D24" s="22" t="str">
        <x:v>Tamorlan / CC BY 3.0 / 原典ページを併記</x:v>
      </x:c>
      <x:c r="E24" s="22" t="str">
        <x:v>既存P017とは別ファイル。P017の権利保留を解除したわけではない。特定のマドリード店と結び付けない。</x:v>
      </x:c>
      <x:c r="F24" s="22" t="str">
        <x:v>https://commons.wikimedia.org/wiki/File:Huesitos_del_Santo.jpg</x:v>
      </x:c>
    </x:row>
    <x:row r="25" ht="92" customHeight="1">
      <x:c r="A25" s="24" t="str">
        <x:v>M072</x:v>
      </x:c>
      <x:c r="B25" s="24" t="str">
        <x:v>P035</x:v>
      </x:c>
      <x:c r="C25" s="24" t="str">
        <x:v>ナポリターナ</x:v>
      </x:c>
      <x:c r="D25" s="24" t="str">
        <x:v>Tamorlan / CC BY 3.0 / Wikimedia Commons</x:v>
      </x:c>
      <x:c r="E25" s="24" t="str">
        <x:v>商品札の古い価格は現行価格として使わない。La Mallorquina製とは未確認。</x:v>
      </x:c>
      <x:c r="F25" s="24" t="str">
        <x:v>https://commons.wikimedia.org/wiki/File:Napolitanas_-_2008.JPG</x:v>
      </x:c>
    </x:row>
    <x:row r="26" ht="92" customHeight="1">
      <x:c r="A26" s="22" t="str">
        <x:v>M082</x:v>
      </x:c>
      <x:c r="B26" s="22" t="str">
        <x:v>P043</x:v>
      </x:c>
      <x:c r="C26" s="22" t="str">
        <x:v>コストラーダ断面</x:v>
      </x:c>
      <x:c r="D26" s="22" t="str">
        <x:v>Raimundo Pastor / CC BY-SA 4.0 / 原典ページを併記</x:v>
      </x:c>
      <x:c r="E26" s="22" t="str">
        <x:v>写真からすべての材料を断定しない。白い層の材料や配合は作り手ごとに確認。P042と同じ個体ではない。</x:v>
      </x:c>
      <x:c r="F26" s="22" t="str">
        <x:v>https://commons.wikimedia.org/wiki/File:Costrada_de_Alcal%C3%A1_Henares_(RPS_08-11-2014)_porci%C3%B3n.png</x:v>
      </x:c>
    </x:row>
    <x:row r="27" ht="92" customHeight="1">
      <x:c r="A27" s="24" t="str">
        <x:v>M083</x:v>
      </x:c>
      <x:c r="B27" s="24" t="str">
        <x:v>P030</x:v>
      </x:c>
      <x:c r="C27" s="24" t="str">
        <x:v>もう一つの骨形菓子</x:v>
      </x:c>
      <x:c r="D27" s="24" t="str">
        <x:v>Tamorlan / CC BY 3.0 / Wikimedia Commons</x:v>
      </x:c>
      <x:c r="E27" s="24" t="str">
        <x:v>ウエソス・デ・サントとは別の菓子。</x:v>
      </x:c>
      <x:c r="F27" s="24" t="str">
        <x:v>https://commons.wikimedia.org/wiki/File:Huesos_de_San_Expedito_%28Detalle%29-2009.jpg</x:v>
      </x:c>
    </x:row>
    <x:row r="28">
      <x:c r="A28" s="6"/>
      <x:c r="B28" s="6"/>
      <x:c r="C28" s="6"/>
      <x:c r="D28" s="6"/>
      <x:c r="E28" s="6"/>
      <x:c r="F28" s="6"/>
    </x:row>
  </x:sheetData>
  <x:mergeCells>
    <x:mergeCell ref="A1:F1"/>
    <x:mergeCell ref="A2:F2"/>
  </x:mergeCells>
  <x:pageMargins left="0.7" right="0.7" top="0.75" bottom="0.75" header="0.3" footer="0.3"/>
  <x:tableParts count="1">
    <x:tablePart xmlns:r="http://schemas.openxmlformats.org/officeDocument/2006/relationships" r:id="R1646d384de3c4d5e"/>
  </x:tableParts>
</x:worksheet>
</file>

<file path=xl/worksheets/sheet10.xml><?xml version="1.0" encoding="utf-8"?>
<x:worksheet xmlns:x="http://schemas.openxmlformats.org/spreadsheetml/2006/main">
  <x:sheetFormatPr defaultRowHeight="15"/>
  <x:cols>
    <x:col min="1" max="1" width="15" hidden="0" customWidth="1"/>
    <x:col min="2" max="2" width="29" hidden="0" customWidth="1"/>
    <x:col min="3" max="3" width="34" hidden="0" customWidth="1"/>
    <x:col min="4" max="4" width="40" hidden="0" customWidth="1"/>
    <x:col min="5" max="5" width="40" hidden="0" customWidth="1"/>
  </x:cols>
  <x:sheetData>
    <x:row r="1" ht="32" customHeight="1">
      <x:c r="A1" s="9" t="str">
        <x:v>今回の探索・検証ログ</x:v>
      </x:c>
      <x:c r="B1" s="9"/>
      <x:c r="C1" s="9"/>
      <x:c r="D1" s="9"/>
      <x:c r="E1" s="9"/>
    </x:row>
    <x:row r="2" ht="32" customHeight="1">
      <x:c r="A2" s="13" t="str">
        <x:v>試したルートと不採用の理由。すべてのサイト・写真を探索し尽くしたという意味ではありません。</x:v>
      </x:c>
      <x:c r="B2" s="13"/>
      <x:c r="C2" s="13"/>
      <x:c r="D2" s="13"/>
      <x:c r="E2" s="13"/>
    </x:row>
    <x:row r="3">
      <x:c r="A3" s="6"/>
      <x:c r="B3" s="6"/>
      <x:c r="C3" s="6"/>
      <x:c r="D3" s="6"/>
      <x:c r="E3" s="6"/>
    </x:row>
    <x:row r="4" ht="32" customHeight="1">
      <x:c r="A4" s="18" t="str">
        <x:v>確認日</x:v>
      </x:c>
      <x:c r="B4" s="18" t="str">
        <x:v>媒体・言語</x:v>
      </x:c>
      <x:c r="C4" s="18" t="str">
        <x:v>検索対象</x:v>
      </x:c>
      <x:c r="D4" s="18" t="str">
        <x:v>結果</x:v>
      </x:c>
      <x:c r="E4" s="18" t="str">
        <x:v>参照</x:v>
      </x:c>
    </x:row>
    <x:row r="5" ht="92" customHeight="1">
      <x:c r="A5" s="24" t="str">
        <x:v>2026-09-28</x:v>
      </x:c>
      <x:c r="B5" s="24" t="str">
        <x:v>現地語・生産者</x:v>
      </x:c>
      <x:c r="C5" s="24" t="str">
        <x:v>fresa/fresón/Pericos/Aranjuez</x:v>
      </x:c>
      <x:c r="D5" s="24" t="str">
        <x:v>生産者団体と栽培者へ到達。イチゴの区別と春のアスパラガスを補強。</x:v>
      </x:c>
      <x:c r="E5" s="24" t="str">
        <x:v>S76,S77,S86</x:v>
      </x:c>
    </x:row>
    <x:row r="6" ht="92" customHeight="1">
      <x:c r="A6" s="22" t="str">
        <x:v>2026-09-28</x:v>
      </x:c>
      <x:c r="B6" s="22" t="str">
        <x:v>現地語・自治体・作り手</x:v>
      </x:c>
      <x:c r="C6" s="22" t="str">
        <x:v>costrada Alcalá</x:v>
      </x:c>
      <x:c r="D6" s="22" t="str">
        <x:v>地域性・構成を補強。起源説の食い違いは未解消。</x:v>
      </x:c>
      <x:c r="E6" s="22" t="str">
        <x:v>S73,S74,S75</x:v>
      </x:c>
    </x:row>
    <x:row r="7" ht="92" customHeight="1">
      <x:c r="A7" s="24" t="str">
        <x:v>2026-09-28</x:v>
      </x:c>
      <x:c r="B7" s="24" t="str">
        <x:v>英語・管理者</x:v>
      </x:c>
      <x:c r="C7" s="24" t="str">
        <x:v>Royal Kitchen Madrid</x:v>
      </x:c>
      <x:c r="D7" s="24" t="str">
        <x:v>料金区分、約45分、言語、予約料、開始時刻の意味を確認。</x:v>
      </x:c>
      <x:c r="E7" s="24" t="str">
        <x:v>S71</x:v>
      </x:c>
    </x:row>
    <x:row r="8" ht="92" customHeight="1">
      <x:c r="A8" s="22" t="str">
        <x:v>2026-09-28</x:v>
      </x:c>
      <x:c r="B8" s="22" t="str">
        <x:v>生産販売元</x:v>
      </x:c>
      <x:c r="C8" s="22" t="str">
        <x:v>miel Madrid origen</x:v>
      </x:c>
      <x:c r="D8" s="22" t="str">
        <x:v>企業所在地と商品の原産国の違いを商品ページで確認。</x:v>
      </x:c>
      <x:c r="E8" s="22" t="str">
        <x:v>S79,S80</x:v>
      </x:c>
    </x:row>
    <x:row r="9" ht="92" customHeight="1">
      <x:c r="A9" s="24" t="str">
        <x:v>2026-09-28</x:v>
      </x:c>
      <x:c r="B9" s="24" t="str">
        <x:v>Flickr</x:v>
      </x:c>
      <x:c r="C9" s="24" t="str">
        <x:v>Madrid tapas</x:v>
      </x:c>
      <x:c r="D9" s="24" t="str">
        <x:v>MadridTapasTrail 9182556043はAll rights reserved。掲載対象にしない。</x:v>
      </x:c>
      <x:c r="E9" s="24" t="str">
        <x:v>https://www.flickr.com/photos/madridtapas/9182556043/</x:v>
      </x:c>
    </x:row>
    <x:row r="10" ht="92" customHeight="1">
      <x:c r="A10" s="22" t="str">
        <x:v>2026-09-28</x:v>
      </x:c>
      <x:c r="B10" s="22" t="str">
        <x:v>Flickr</x:v>
      </x:c>
      <x:c r="C10" s="22" t="str">
        <x:v>Madrid Tapas Bar</x:v>
      </x:c>
      <x:c r="D10" s="22" t="str">
        <x:v>The Scoop 3877732295はAll rights reserved、場所の説明にも不確実性。掲載対象にしない。</x:v>
      </x:c>
      <x:c r="E10" s="22" t="str">
        <x:v>https://www.flickr.com/photos/stevecrowe/3877732295/</x:v>
      </x:c>
    </x:row>
    <x:row r="11" ht="92" customHeight="1">
      <x:c r="A11" s="24" t="str">
        <x:v>2026-09-28</x:v>
      </x:c>
      <x:c r="B11" s="24" t="str">
        <x:v>Commons原典・実画像</x:v>
      </x:c>
      <x:c r="C11" s="24" t="str">
        <x:v>Zarajos / Patatas bravas Lavapies</x:v>
      </x:c>
      <x:c r="D11" s="24" t="str">
        <x:v>2件を重複なしで追加。原画像のローカル保存はしていない。</x:v>
      </x:c>
      <x:c r="E11" s="24" t="str">
        <x:v>P051,P052</x:v>
      </x:c>
    </x:row>
    <x:row r="12" ht="92" customHeight="1">
      <x:c r="A12" s="22" t="str">
        <x:v>2026-09-28</x:v>
      </x:c>
      <x:c r="B12" s="22" t="str">
        <x:v>Commons再確認</x:v>
      </x:c>
      <x:c r="C12" s="22" t="str">
        <x:v>cocido / boquerones</x:v>
      </x:c>
      <x:c r="D12" s="22" t="str">
        <x:v>P001/P008は再確認であり、追加枚数に入れない。</x:v>
      </x:c>
      <x:c r="E12" s="22" t="str">
        <x:v>P001,P008</x:v>
      </x:c>
    </x:row>
    <x:row r="13" ht="92" customHeight="1">
      <x:c r="A13" s="24" t="str">
        <x:v>2026-09-28</x:v>
      </x:c>
      <x:c r="B13" s="24" t="str">
        <x:v>画像取得</x:v>
      </x:c>
      <x:c r="C13" s="24" t="str">
        <x:v>webで見えた実画像の保存</x:v>
      </x:c>
      <x:c r="D13" s="24" t="str">
        <x:v>コンテナへの画像保存は失敗。HTMLは外部読み込み。空の画像アーカイブを完成扱いしない。</x:v>
      </x:c>
      <x:c r="E13" s="24" t="str">
        <x:v>原画像0件</x:v>
      </x:c>
    </x:row>
    <x:row r="14">
      <x:c r="A14" s="6"/>
      <x:c r="B14" s="6"/>
      <x:c r="C14" s="6"/>
      <x:c r="D14" s="6"/>
      <x:c r="E14" s="6"/>
    </x:row>
  </x:sheetData>
  <x:mergeCells>
    <x:mergeCell ref="A1:E1"/>
    <x:mergeCell ref="A2:E2"/>
  </x:mergeCells>
  <x:pageMargins left="0.7" right="0.7" top="0.75" bottom="0.75" header="0.3" footer="0.3"/>
  <x:tableParts count="1">
    <x:tablePart xmlns:r="http://schemas.openxmlformats.org/officeDocument/2006/relationships" r:id="Rf6fbc04f9d4648bf"/>
  </x:tableParts>
</x:worksheet>
</file>